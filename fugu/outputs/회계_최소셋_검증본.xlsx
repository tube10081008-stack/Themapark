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afa9a67c6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산표" sheetId="1" r:id="R34679719f72347d3"/>
    <x:sheet xmlns:r="http://schemas.openxmlformats.org/officeDocument/2006/relationships" name="전표" sheetId="2" r:id="Recd8eb84372c4d2a"/>
    <x:sheet xmlns:r="http://schemas.openxmlformats.org/officeDocument/2006/relationships" name="계정과목" sheetId="3" r:id="Rb87910e0f35340f6"/>
    <x:sheet xmlns:r="http://schemas.openxmlformats.org/officeDocument/2006/relationships" name="검증" sheetId="4" r:id="R0547fdd56976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8">
    <x:font>
      <x:sz val="11"/>
      <x:name val="Carlito"/>
    </x:font>
    <x:font>
      <x:b/>
      <x:sz val="14"/>
      <x:color rgb="FF1A1A1A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i/>
      <x:sz val="10"/>
      <x:color rgb="FF404040"/>
      <x:name val="Arial"/>
    </x:font>
    <x:font>
      <x:b/>
      <x:i/>
      <x:sz val="10"/>
      <x:color rgb="FFFFFFFF"/>
      <x:name val="Arial"/>
    </x:font>
    <x:font>
      <x:b/>
      <x:sz val="10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BFBFBF"/>
      </x:bottom>
    </x:border>
    <x:border>
      <x:top style="thin">
        <x:color rgb="FF404040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/>
    <x:xf numFmtId="0" fontId="0" fillId="0" borderId="2" xfId="0" applyNumberFormat="1" applyFont="1" applyFill="1" applyBorder="1"/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201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/>
    <x:xf numFmtId="201" fontId="6" fillId="0" borderId="3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201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B3261E"/>
      </x:font>
      <x:fill>
        <x:patternFill patternType="solid">
          <x:bgColor rgb="FFFDE7E9"/>
        </x:patternFill>
      </x:fill>
    </x:dxf>
    <x:dxf>
      <x:font>
        <x:b/>
        <x:color rgb="FFB3261E"/>
      </x:font>
      <x:fill>
        <x:patternFill patternType="solid">
          <x:bgColor rgb="FFFDE7E9"/>
        </x:patternFill>
      </x:fill>
    </x:dxf>
    <x:dxf>
      <x:font>
        <x:b/>
        <x:color rgb="FFB3261E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8f58f539f44cb" /><Relationship Type="http://schemas.openxmlformats.org/officeDocument/2006/relationships/theme" Target="/xl/theme/theme1.xml" Id="R5250bce7a8634b5a" /><Relationship Type="http://schemas.openxmlformats.org/officeDocument/2006/relationships/sharedStrings" Target="/xl/sharedStrings.xml" Id="Rbf009f42b37b4667" /><Relationship Type="http://schemas.openxmlformats.org/officeDocument/2006/relationships/worksheet" Target="/xl/worksheets/sheet1.xml" Id="R34679719f72347d3" /><Relationship Type="http://schemas.openxmlformats.org/officeDocument/2006/relationships/worksheet" Target="/xl/worksheets/sheet2.xml" Id="Recd8eb84372c4d2a" /><Relationship Type="http://schemas.openxmlformats.org/officeDocument/2006/relationships/worksheet" Target="/xl/worksheets/sheet3.xml" Id="Rb87910e0f35340f6" /><Relationship Type="http://schemas.openxmlformats.org/officeDocument/2006/relationships/worksheet" Target="/xl/worksheets/sheet4.xml" Id="R0547fdd56976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</x:cols>
  <x:sheetData>
    <x:row r="2">
      <x:c r="A2" s="1" t="str">
        <x:v>시산표</x:v>
      </x:c>
    </x:row>
    <x:row r="3">
      <x:c r="A3" s="15"/>
      <x:c r="B3" s="15"/>
      <x:c r="C3" s="15"/>
      <x:c r="D3" s="15"/>
      <x:c r="E3" s="15"/>
      <x:c r="F3" s="15"/>
    </x:row>
    <x:row r="4">
      <x:c r="A4" s="16" t="str">
        <x:v>기간</x:v>
      </x:c>
      <x:c r="B4" s="19" t="str">
        <x:v>2026-09</x:v>
      </x:c>
      <x:c r="D4" s="2" t="str">
        <x:v>전체 기간은 * 입력</x:v>
      </x:c>
      <x:c r="F4" s="2" t="str">
        <x:v>단위: 원</x:v>
      </x:c>
    </x:row>
    <x:row r="6">
      <x:c r="A6" s="4" t="str">
        <x:v>핵심 결과</x:v>
      </x:c>
      <x:c r="B6" s="3"/>
      <x:c r="C6" s="3"/>
      <x:c r="D6" s="3"/>
    </x:row>
    <x:row r="7">
      <x:c r="A7" s="20" t="str">
        <x:v>총 차변 합계</x:v>
      </x:c>
      <x:c r="B7" s="21" t="n">
        <x:f>SUMIFS('전표'!$F$7:$F$306,'전표'!$K$7:$K$306,$B$4)</x:f>
        <x:v>54825000</x:v>
      </x:c>
    </x:row>
    <x:row r="8">
      <x:c r="A8" s="20" t="str">
        <x:v>총 대변 합계</x:v>
      </x:c>
      <x:c r="B8" s="21" t="n">
        <x:f>SUMIFS('전표'!$G$7:$G$306,'전표'!$K$7:$K$306,$B$4)</x:f>
        <x:v>54825000</x:v>
      </x:c>
    </x:row>
    <x:row r="9">
      <x:c r="A9" s="20" t="str">
        <x:v>차액</x:v>
      </x:c>
      <x:c r="B9" s="21" t="n">
        <x:f>B7-B8</x:f>
        <x:v>0</x:v>
      </x:c>
    </x:row>
    <x:row r="10">
      <x:c r="A10" s="20" t="str">
        <x:v>판정</x:v>
      </x:c>
      <x:c r="B10" s="16" t="str">
        <x:f>IF(ABS(B9)&lt;1,"일치","불일치 (원장 확인 필요)")</x:f>
        <x:v>일치</x:v>
      </x:c>
    </x:row>
    <x:row r="12">
      <x:c r="A12" s="4" t="str">
        <x:v>손익 요약</x:v>
      </x:c>
      <x:c r="B12" s="3"/>
      <x:c r="C12" s="3"/>
      <x:c r="D12" s="3"/>
    </x:row>
    <x:row r="13">
      <x:c r="A13" s="20" t="str">
        <x:v>수익 합계</x:v>
      </x:c>
      <x:c r="B13" s="21" t="n">
        <x:f>SUMIFS('전표'!$G$7:$G$306,'전표'!$M$7:$M$306,"수익",'전표'!$K$7:$K$306,$B$4)-SUMIFS('전표'!$F$7:$F$306,'전표'!$M$7:$M$306,"수익",'전표'!$K$7:$K$306,$B$4)</x:f>
        <x:v>1300000</x:v>
      </x:c>
    </x:row>
    <x:row r="14">
      <x:c r="A14" s="20" t="str">
        <x:v>비용 합계</x:v>
      </x:c>
      <x:c r="B14" s="21" t="n">
        <x:f>SUMIFS('전표'!$F$7:$F$306,'전표'!$M$7:$M$306,"비용",'전표'!$K$7:$K$306,$B$4)-SUMIFS('전표'!$G$7:$G$306,'전표'!$M$7:$M$306,"비용",'전표'!$K$7:$K$306,$B$4)</x:f>
        <x:v>3295000</x:v>
      </x:c>
    </x:row>
    <x:row r="15">
      <x:c r="A15" s="16" t="str">
        <x:v>당기순손익</x:v>
      </x:c>
      <x:c r="B15" s="22" t="n">
        <x:f>B13-B14</x:f>
        <x:v>-1995000</x:v>
      </x:c>
      <x:c r="C15" s="16" t="str">
        <x:f>IF(B15&gt;0,"흑자",IF(B15&lt;0,"적자","손익 없음"))</x:f>
        <x:v>적자</x:v>
      </x:c>
    </x:row>
    <x:row r="17">
      <x:c r="A17" s="4" t="str">
        <x:v>부가세 신고자료</x:v>
      </x:c>
      <x:c r="B17" s="3"/>
      <x:c r="C17" s="3"/>
      <x:c r="D17" s="3"/>
    </x:row>
    <x:row r="18">
      <x:c r="A18" s="20" t="str">
        <x:v>과세 매출 공급가액</x:v>
      </x:c>
      <x:c r="B18" s="21" t="n">
        <x:f>SUMIFS('전표'!$G$7:$G$306,'전표'!$M$7:$M$306,"수익",'전표'!$N$7:$N$306,"과세",'전표'!$K$7:$K$306,$B$4)-SUMIFS('전표'!$F$7:$F$306,'전표'!$M$7:$M$306,"수익",'전표'!$N$7:$N$306,"과세",'전표'!$K$7:$K$306,$B$4)</x:f>
        <x:v>1300000</x:v>
      </x:c>
    </x:row>
    <x:row r="19">
      <x:c r="A19" s="20" t="str">
        <x:v>매출세액</x:v>
      </x:c>
      <x:c r="B19" s="21" t="n">
        <x:f>SUMIFS('전표'!$H$7:$H$306,'전표'!$M$7:$M$306,"수익",'전표'!$N$7:$N$306,"과세",'전표'!$K$7:$K$306,$B$4)</x:f>
        <x:v>130000</x:v>
      </x:c>
    </x:row>
    <x:row r="20">
      <x:c r="A20" s="20" t="str">
        <x:v>과세 매입 공급가액</x:v>
      </x:c>
      <x:c r="B20" s="21" t="n">
        <x:f>SUMIFS('전표'!$F$7:$F$306,'전표'!$M$7:$M$306,"비용",'전표'!$N$7:$N$306,"과세",'전표'!$K$7:$K$306,$B$4)+SUMIFS('전표'!$F$7:$F$306,'전표'!$M$7:$M$306,"자산",'전표'!$N$7:$N$306,"과세",'전표'!$K$7:$K$306,$B$4)</x:f>
        <x:v>1000000</x:v>
      </x:c>
    </x:row>
    <x:row r="21">
      <x:c r="A21" s="20" t="str">
        <x:v>매입세액</x:v>
      </x:c>
      <x:c r="B21" s="21" t="n">
        <x:f>SUMIFS('전표'!$H$7:$H$306,'전표'!$M$7:$M$306,"비용",'전표'!$N$7:$N$306,"과세",'전표'!$K$7:$K$306,$B$4)+SUMIFS('전표'!$H$7:$H$306,'전표'!$M$7:$M$306,"자산",'전표'!$N$7:$N$306,"과세",'전표'!$K$7:$K$306,$B$4)</x:f>
        <x:v>100000</x:v>
      </x:c>
    </x:row>
    <x:row r="22">
      <x:c r="A22" s="16" t="str">
        <x:v>납부(환급) 예상세액</x:v>
      </x:c>
      <x:c r="B22" s="22" t="n">
        <x:f>B19-B21</x:f>
        <x:v>30000</x:v>
      </x:c>
    </x:row>
    <x:row r="23">
      <x:c r="A23" s="2" t="str">
        <x:v>부가세액은 공급가액이 있는 라인(수익·비용 계정)에 입력합니다. 면세·간이과세 거래와 신고 전 세무 검토는 반영되지 않습니다.</x:v>
      </x:c>
    </x:row>
    <x:row r="25">
      <x:c r="A25" s="4" t="str">
        <x:v>계정별 시산표</x:v>
      </x:c>
      <x:c r="B25" s="3"/>
      <x:c r="C25" s="3"/>
      <x:c r="D25" s="3"/>
      <x:c r="E25" s="3"/>
      <x:c r="F25" s="3"/>
    </x:row>
    <x:row r="26">
      <x:c r="A26" s="6" t="str">
        <x:v>코드</x:v>
      </x:c>
      <x:c r="B26" s="6" t="str">
        <x:v>계정명</x:v>
      </x:c>
      <x:c r="C26" s="6" t="str">
        <x:v>유형</x:v>
      </x:c>
      <x:c r="D26" s="6" t="str">
        <x:v>차변</x:v>
      </x:c>
      <x:c r="E26" s="6" t="str">
        <x:v>대변</x:v>
      </x:c>
      <x:c r="F26" s="6" t="str">
        <x:v>잔액</x:v>
      </x:c>
    </x:row>
    <x:row r="27">
      <x:c r="A27" s="7" t="str">
        <x:f>'계정과목'!A6</x:f>
        <x:v>101</x:v>
      </x:c>
      <x:c r="B27" s="7" t="str">
        <x:f>'계정과목'!B6</x:f>
        <x:v>현금</x:v>
      </x:c>
      <x:c r="C27" s="8" t="str">
        <x:f>'계정과목'!C6</x:f>
        <x:v>자산</x:v>
      </x:c>
      <x:c r="D27" s="12" t="n">
        <x:f>SUMIFS('전표'!$F$7:$F$306,'전표'!$E$7:$E$306,$A27,'전표'!$K$7:$K$306,$B$4)</x:f>
        <x:v>330000</x:v>
      </x:c>
      <x:c r="E27" s="12" t="n">
        <x:f>SUMIFS('전표'!$G$7:$G$306,'전표'!$E$7:$E$306,$A27,'전표'!$K$7:$K$306,$B$4)</x:f>
        <x:v>50000</x:v>
      </x:c>
      <x:c r="F27" s="12" t="n">
        <x:f>D27-E27</x:f>
        <x:v>280000</x:v>
      </x:c>
    </x:row>
    <x:row r="28">
      <x:c r="A28" s="7" t="str">
        <x:f>'계정과목'!A7</x:f>
        <x:v>102</x:v>
      </x:c>
      <x:c r="B28" s="7" t="str">
        <x:f>'계정과목'!B7</x:f>
        <x:v>보통예금</x:v>
      </x:c>
      <x:c r="C28" s="8" t="str">
        <x:f>'계정과목'!C7</x:f>
        <x:v>자산</x:v>
      </x:c>
      <x:c r="D28" s="12" t="n">
        <x:f>SUMIFS('전표'!$F$7:$F$306,'전표'!$E$7:$E$306,$A28,'전표'!$K$7:$K$306,$B$4)</x:f>
        <x:v>30000000</x:v>
      </x:c>
      <x:c r="E28" s="12" t="n">
        <x:f>SUMIFS('전표'!$G$7:$G$306,'전표'!$E$7:$E$306,$A28,'전표'!$K$7:$K$306,$B$4)</x:f>
        <x:v>22920000</x:v>
      </x:c>
      <x:c r="F28" s="12" t="n">
        <x:f>D28-E28</x:f>
        <x:v>7080000</x:v>
      </x:c>
    </x:row>
    <x:row r="29">
      <x:c r="A29" s="7" t="str">
        <x:f>'계정과목'!A8</x:f>
        <x:v>103</x:v>
      </x:c>
      <x:c r="B29" s="7" t="str">
        <x:f>'계정과목'!B8</x:f>
        <x:v>카드매출미정산금</x:v>
      </x:c>
      <x:c r="C29" s="8" t="str">
        <x:f>'계정과목'!C8</x:f>
        <x:v>자산</x:v>
      </x:c>
      <x:c r="D29" s="12" t="n">
        <x:f>SUMIFS('전표'!$F$7:$F$306,'전표'!$E$7:$E$306,$A29,'전표'!$K$7:$K$306,$B$4)</x:f>
        <x:v>1100000</x:v>
      </x:c>
      <x:c r="E29" s="12" t="n">
        <x:f>SUMIFS('전표'!$G$7:$G$306,'전표'!$E$7:$E$306,$A29,'전표'!$K$7:$K$306,$B$4)</x:f>
        <x:v>22000</x:v>
      </x:c>
      <x:c r="F29" s="12" t="n">
        <x:f>D29-E29</x:f>
        <x:v>1078000</x:v>
      </x:c>
    </x:row>
    <x:row r="30">
      <x:c r="A30" s="7" t="str">
        <x:f>'계정과목'!A9</x:f>
        <x:v>120</x:v>
      </x:c>
      <x:c r="B30" s="7" t="str">
        <x:f>'계정과목'!B9</x:f>
        <x:v>외상매출금</x:v>
      </x:c>
      <x:c r="C30" s="8" t="str">
        <x:f>'계정과목'!C9</x:f>
        <x:v>자산</x:v>
      </x:c>
      <x:c r="D30" s="12" t="n">
        <x:f>SUMIFS('전표'!$F$7:$F$306,'전표'!$E$7:$E$306,$A30,'전표'!$K$7:$K$306,$B$4)</x:f>
        <x:v>0</x:v>
      </x:c>
      <x:c r="E30" s="12" t="n">
        <x:f>SUMIFS('전표'!$G$7:$G$306,'전표'!$E$7:$E$306,$A30,'전표'!$K$7:$K$306,$B$4)</x:f>
        <x:v>0</x:v>
      </x:c>
      <x:c r="F30" s="12" t="n">
        <x:f>D30-E30</x:f>
        <x:v>0</x:v>
      </x:c>
    </x:row>
    <x:row r="31">
      <x:c r="A31" s="7" t="str">
        <x:f>'계정과목'!A10</x:f>
        <x:v>135</x:v>
      </x:c>
      <x:c r="B31" s="7" t="str">
        <x:f>'계정과목'!B10</x:f>
        <x:v>부가세대급금</x:v>
      </x:c>
      <x:c r="C31" s="8" t="str">
        <x:f>'계정과목'!C10</x:f>
        <x:v>자산</x:v>
      </x:c>
      <x:c r="D31" s="12" t="n">
        <x:f>SUMIFS('전표'!$F$7:$F$306,'전표'!$E$7:$E$306,$A31,'전표'!$K$7:$K$306,$B$4)</x:f>
        <x:v>100000</x:v>
      </x:c>
      <x:c r="E31" s="12" t="n">
        <x:f>SUMIFS('전표'!$G$7:$G$306,'전표'!$E$7:$E$306,$A31,'전표'!$K$7:$K$306,$B$4)</x:f>
        <x:v>0</x:v>
      </x:c>
      <x:c r="F31" s="12" t="n">
        <x:f>D31-E31</x:f>
        <x:v>100000</x:v>
      </x:c>
    </x:row>
    <x:row r="32">
      <x:c r="A32" s="7" t="str">
        <x:f>'계정과목'!A11</x:f>
        <x:v>141</x:v>
      </x:c>
      <x:c r="B32" s="7" t="str">
        <x:f>'계정과목'!B11</x:f>
        <x:v>미수금</x:v>
      </x:c>
      <x:c r="C32" s="8" t="str">
        <x:f>'계정과목'!C11</x:f>
        <x:v>자산</x:v>
      </x:c>
      <x:c r="D32" s="12" t="n">
        <x:f>SUMIFS('전표'!$F$7:$F$306,'전표'!$E$7:$E$306,$A32,'전표'!$K$7:$K$306,$B$4)</x:f>
        <x:v>0</x:v>
      </x:c>
      <x:c r="E32" s="12" t="n">
        <x:f>SUMIFS('전표'!$G$7:$G$306,'전표'!$E$7:$E$306,$A32,'전표'!$K$7:$K$306,$B$4)</x:f>
        <x:v>0</x:v>
      </x:c>
      <x:c r="F32" s="12" t="n">
        <x:f>D32-E32</x:f>
        <x:v>0</x:v>
      </x:c>
    </x:row>
    <x:row r="33">
      <x:c r="A33" s="7" t="str">
        <x:f>'계정과목'!A12</x:f>
        <x:v>150</x:v>
      </x:c>
      <x:c r="B33" s="7" t="str">
        <x:f>'계정과목'!B12</x:f>
        <x:v>상품</x:v>
      </x:c>
      <x:c r="C33" s="8" t="str">
        <x:f>'계정과목'!C12</x:f>
        <x:v>자산</x:v>
      </x:c>
      <x:c r="D33" s="12" t="n">
        <x:f>SUMIFS('전표'!$F$7:$F$306,'전표'!$E$7:$E$306,$A33,'전표'!$K$7:$K$306,$B$4)</x:f>
        <x:v>0</x:v>
      </x:c>
      <x:c r="E33" s="12" t="n">
        <x:f>SUMIFS('전표'!$G$7:$G$306,'전표'!$E$7:$E$306,$A33,'전표'!$K$7:$K$306,$B$4)</x:f>
        <x:v>0</x:v>
      </x:c>
      <x:c r="F33" s="12" t="n">
        <x:f>D33-E33</x:f>
        <x:v>0</x:v>
      </x:c>
    </x:row>
    <x:row r="34">
      <x:c r="A34" s="7" t="str">
        <x:f>'계정과목'!A13</x:f>
        <x:v>160</x:v>
      </x:c>
      <x:c r="B34" s="7" t="str">
        <x:f>'계정과목'!B13</x:f>
        <x:v>비품</x:v>
      </x:c>
      <x:c r="C34" s="8" t="str">
        <x:f>'계정과목'!C13</x:f>
        <x:v>자산</x:v>
      </x:c>
      <x:c r="D34" s="12" t="n">
        <x:f>SUMIFS('전표'!$F$7:$F$306,'전표'!$E$7:$E$306,$A34,'전표'!$K$7:$K$306,$B$4)</x:f>
        <x:v>0</x:v>
      </x:c>
      <x:c r="E34" s="12" t="n">
        <x:f>SUMIFS('전표'!$G$7:$G$306,'전표'!$E$7:$E$306,$A34,'전표'!$K$7:$K$306,$B$4)</x:f>
        <x:v>0</x:v>
      </x:c>
      <x:c r="F34" s="12" t="n">
        <x:f>D34-E34</x:f>
        <x:v>0</x:v>
      </x:c>
    </x:row>
    <x:row r="35">
      <x:c r="A35" s="7" t="str">
        <x:f>'계정과목'!A14</x:f>
        <x:v>165</x:v>
      </x:c>
      <x:c r="B35" s="7" t="str">
        <x:f>'계정과목'!B14</x:f>
        <x:v>시설장치</x:v>
      </x:c>
      <x:c r="C35" s="8" t="str">
        <x:f>'계정과목'!C14</x:f>
        <x:v>자산</x:v>
      </x:c>
      <x:c r="D35" s="12" t="n">
        <x:f>SUMIFS('전표'!$F$7:$F$306,'전표'!$E$7:$E$306,$A35,'전표'!$K$7:$K$306,$B$4)</x:f>
        <x:v>0</x:v>
      </x:c>
      <x:c r="E35" s="12" t="n">
        <x:f>SUMIFS('전표'!$G$7:$G$306,'전표'!$E$7:$E$306,$A35,'전표'!$K$7:$K$306,$B$4)</x:f>
        <x:v>0</x:v>
      </x:c>
      <x:c r="F35" s="12" t="n">
        <x:f>D35-E35</x:f>
        <x:v>0</x:v>
      </x:c>
    </x:row>
    <x:row r="36">
      <x:c r="A36" s="7" t="str">
        <x:f>'계정과목'!A15</x:f>
        <x:v>170</x:v>
      </x:c>
      <x:c r="B36" s="7" t="str">
        <x:f>'계정과목'!B15</x:f>
        <x:v>감가상각누계액</x:v>
      </x:c>
      <x:c r="C36" s="8" t="str">
        <x:f>'계정과목'!C15</x:f>
        <x:v>자산</x:v>
      </x:c>
      <x:c r="D36" s="12" t="n">
        <x:f>SUMIFS('전표'!$F$7:$F$306,'전표'!$E$7:$E$306,$A36,'전표'!$K$7:$K$306,$B$4)</x:f>
        <x:v>0</x:v>
      </x:c>
      <x:c r="E36" s="12" t="n">
        <x:f>SUMIFS('전표'!$G$7:$G$306,'전표'!$E$7:$E$306,$A36,'전표'!$K$7:$K$306,$B$4)</x:f>
        <x:v>83000</x:v>
      </x:c>
      <x:c r="F36" s="12" t="n">
        <x:f>D36-E36</x:f>
        <x:v>-83000</x:v>
      </x:c>
    </x:row>
    <x:row r="37">
      <x:c r="A37" s="7" t="str">
        <x:f>'계정과목'!A16</x:f>
        <x:v>180</x:v>
      </x:c>
      <x:c r="B37" s="7" t="str">
        <x:f>'계정과목'!B16</x:f>
        <x:v>임차보증금</x:v>
      </x:c>
      <x:c r="C37" s="8" t="str">
        <x:f>'계정과목'!C16</x:f>
        <x:v>자산</x:v>
      </x:c>
      <x:c r="D37" s="12" t="n">
        <x:f>SUMIFS('전표'!$F$7:$F$306,'전표'!$E$7:$E$306,$A37,'전표'!$K$7:$K$306,$B$4)</x:f>
        <x:v>20000000</x:v>
      </x:c>
      <x:c r="E37" s="12" t="n">
        <x:f>SUMIFS('전표'!$G$7:$G$306,'전표'!$E$7:$E$306,$A37,'전표'!$K$7:$K$306,$B$4)</x:f>
        <x:v>0</x:v>
      </x:c>
      <x:c r="F37" s="12" t="n">
        <x:f>D37-E37</x:f>
        <x:v>20000000</x:v>
      </x:c>
    </x:row>
    <x:row r="38">
      <x:c r="A38" s="7" t="str">
        <x:f>'계정과목'!A17</x:f>
        <x:v>190</x:v>
      </x:c>
      <x:c r="B38" s="7" t="str">
        <x:f>'계정과목'!B17</x:f>
        <x:v>선급비용</x:v>
      </x:c>
      <x:c r="C38" s="8" t="str">
        <x:f>'계정과목'!C17</x:f>
        <x:v>자산</x:v>
      </x:c>
      <x:c r="D38" s="12" t="n">
        <x:f>SUMIFS('전표'!$F$7:$F$306,'전표'!$E$7:$E$306,$A38,'전표'!$K$7:$K$306,$B$4)</x:f>
        <x:v>0</x:v>
      </x:c>
      <x:c r="E38" s="12" t="n">
        <x:f>SUMIFS('전표'!$G$7:$G$306,'전표'!$E$7:$E$306,$A38,'전표'!$K$7:$K$306,$B$4)</x:f>
        <x:v>0</x:v>
      </x:c>
      <x:c r="F38" s="12" t="n">
        <x:f>D38-E38</x:f>
        <x:v>0</x:v>
      </x:c>
    </x:row>
    <x:row r="39">
      <x:c r="A39" s="7" t="str">
        <x:f>'계정과목'!A18</x:f>
        <x:v>201</x:v>
      </x:c>
      <x:c r="B39" s="7" t="str">
        <x:f>'계정과목'!B18</x:f>
        <x:v>외상매입금</x:v>
      </x:c>
      <x:c r="C39" s="8" t="str">
        <x:f>'계정과목'!C18</x:f>
        <x:v>부채</x:v>
      </x:c>
      <x:c r="D39" s="12" t="n">
        <x:f>SUMIFS('전표'!$F$7:$F$306,'전표'!$E$7:$E$306,$A39,'전표'!$K$7:$K$306,$B$4)</x:f>
        <x:v>0</x:v>
      </x:c>
      <x:c r="E39" s="12" t="n">
        <x:f>SUMIFS('전표'!$G$7:$G$306,'전표'!$E$7:$E$306,$A39,'전표'!$K$7:$K$306,$B$4)</x:f>
        <x:v>0</x:v>
      </x:c>
      <x:c r="F39" s="12" t="n">
        <x:f>D39-E39</x:f>
        <x:v>0</x:v>
      </x:c>
    </x:row>
    <x:row r="40">
      <x:c r="A40" s="7" t="str">
        <x:f>'계정과목'!A19</x:f>
        <x:v>202</x:v>
      </x:c>
      <x:c r="B40" s="7" t="str">
        <x:f>'계정과목'!B19</x:f>
        <x:v>미지급금</x:v>
      </x:c>
      <x:c r="C40" s="8" t="str">
        <x:f>'계정과목'!C19</x:f>
        <x:v>부채</x:v>
      </x:c>
      <x:c r="D40" s="12" t="n">
        <x:f>SUMIFS('전표'!$F$7:$F$306,'전표'!$E$7:$E$306,$A40,'전표'!$K$7:$K$306,$B$4)</x:f>
        <x:v>0</x:v>
      </x:c>
      <x:c r="E40" s="12" t="n">
        <x:f>SUMIFS('전표'!$G$7:$G$306,'전표'!$E$7:$E$306,$A40,'전표'!$K$7:$K$306,$B$4)</x:f>
        <x:v>0</x:v>
      </x:c>
      <x:c r="F40" s="12" t="n">
        <x:f>D40-E40</x:f>
        <x:v>0</x:v>
      </x:c>
    </x:row>
    <x:row r="41">
      <x:c r="A41" s="7" t="str">
        <x:f>'계정과목'!A20</x:f>
        <x:v>203</x:v>
      </x:c>
      <x:c r="B41" s="7" t="str">
        <x:f>'계정과목'!B20</x:f>
        <x:v>미지급비용</x:v>
      </x:c>
      <x:c r="C41" s="8" t="str">
        <x:f>'계정과목'!C20</x:f>
        <x:v>부채</x:v>
      </x:c>
      <x:c r="D41" s="12" t="n">
        <x:f>SUMIFS('전표'!$F$7:$F$306,'전표'!$E$7:$E$306,$A41,'전표'!$K$7:$K$306,$B$4)</x:f>
        <x:v>0</x:v>
      </x:c>
      <x:c r="E41" s="12" t="n">
        <x:f>SUMIFS('전표'!$G$7:$G$306,'전표'!$E$7:$E$306,$A41,'전표'!$K$7:$K$306,$B$4)</x:f>
        <x:v>0</x:v>
      </x:c>
      <x:c r="F41" s="12" t="n">
        <x:f>D41-E41</x:f>
        <x:v>0</x:v>
      </x:c>
    </x:row>
    <x:row r="42">
      <x:c r="A42" s="7" t="str">
        <x:f>'계정과목'!A21</x:f>
        <x:v>210</x:v>
      </x:c>
      <x:c r="B42" s="7" t="str">
        <x:f>'계정과목'!B21</x:f>
        <x:v>예수금(4대보험·원천세)</x:v>
      </x:c>
      <x:c r="C42" s="8" t="str">
        <x:f>'계정과목'!C21</x:f>
        <x:v>부채</x:v>
      </x:c>
      <x:c r="D42" s="12" t="n">
        <x:f>SUMIFS('전표'!$F$7:$F$306,'전표'!$E$7:$E$306,$A42,'전표'!$K$7:$K$306,$B$4)</x:f>
        <x:v>0</x:v>
      </x:c>
      <x:c r="E42" s="12" t="n">
        <x:f>SUMIFS('전표'!$G$7:$G$306,'전표'!$E$7:$E$306,$A42,'전표'!$K$7:$K$306,$B$4)</x:f>
        <x:v>320000</x:v>
      </x:c>
      <x:c r="F42" s="12" t="n">
        <x:f>D42-E42</x:f>
        <x:v>-320000</x:v>
      </x:c>
    </x:row>
    <x:row r="43">
      <x:c r="A43" s="7" t="str">
        <x:f>'계정과목'!A22</x:f>
        <x:v>220</x:v>
      </x:c>
      <x:c r="B43" s="7" t="str">
        <x:f>'계정과목'!B22</x:f>
        <x:v>부가세예수금</x:v>
      </x:c>
      <x:c r="C43" s="8" t="str">
        <x:f>'계정과목'!C22</x:f>
        <x:v>부채</x:v>
      </x:c>
      <x:c r="D43" s="12" t="n">
        <x:f>SUMIFS('전표'!$F$7:$F$306,'전표'!$E$7:$E$306,$A43,'전표'!$K$7:$K$306,$B$4)</x:f>
        <x:v>0</x:v>
      </x:c>
      <x:c r="E43" s="12" t="n">
        <x:f>SUMIFS('전표'!$G$7:$G$306,'전표'!$E$7:$E$306,$A43,'전표'!$K$7:$K$306,$B$4)</x:f>
        <x:v>130000</x:v>
      </x:c>
      <x:c r="F43" s="12" t="n">
        <x:f>D43-E43</x:f>
        <x:v>-130000</x:v>
      </x:c>
    </x:row>
    <x:row r="44">
      <x:c r="A44" s="7" t="str">
        <x:f>'계정과목'!A23</x:f>
        <x:v>230</x:v>
      </x:c>
      <x:c r="B44" s="7" t="str">
        <x:f>'계정과목'!B23</x:f>
        <x:v>선수금</x:v>
      </x:c>
      <x:c r="C44" s="8" t="str">
        <x:f>'계정과목'!C23</x:f>
        <x:v>부채</x:v>
      </x:c>
      <x:c r="D44" s="12" t="n">
        <x:f>SUMIFS('전표'!$F$7:$F$306,'전표'!$E$7:$E$306,$A44,'전표'!$K$7:$K$306,$B$4)</x:f>
        <x:v>0</x:v>
      </x:c>
      <x:c r="E44" s="12" t="n">
        <x:f>SUMIFS('전표'!$G$7:$G$306,'전표'!$E$7:$E$306,$A44,'전표'!$K$7:$K$306,$B$4)</x:f>
        <x:v>0</x:v>
      </x:c>
      <x:c r="F44" s="12" t="n">
        <x:f>D44-E44</x:f>
        <x:v>0</x:v>
      </x:c>
    </x:row>
    <x:row r="45">
      <x:c r="A45" s="7" t="str">
        <x:f>'계정과목'!A24</x:f>
        <x:v>240</x:v>
      </x:c>
      <x:c r="B45" s="7" t="str">
        <x:f>'계정과목'!B24</x:f>
        <x:v>단기차입금</x:v>
      </x:c>
      <x:c r="C45" s="8" t="str">
        <x:f>'계정과목'!C24</x:f>
        <x:v>부채</x:v>
      </x:c>
      <x:c r="D45" s="12" t="n">
        <x:f>SUMIFS('전표'!$F$7:$F$306,'전표'!$E$7:$E$306,$A45,'전표'!$K$7:$K$306,$B$4)</x:f>
        <x:v>0</x:v>
      </x:c>
      <x:c r="E45" s="12" t="n">
        <x:f>SUMIFS('전표'!$G$7:$G$306,'전표'!$E$7:$E$306,$A45,'전표'!$K$7:$K$306,$B$4)</x:f>
        <x:v>0</x:v>
      </x:c>
      <x:c r="F45" s="12" t="n">
        <x:f>D45-E45</x:f>
        <x:v>0</x:v>
      </x:c>
    </x:row>
    <x:row r="46">
      <x:c r="A46" s="7" t="str">
        <x:f>'계정과목'!A25</x:f>
        <x:v>250</x:v>
      </x:c>
      <x:c r="B46" s="7" t="str">
        <x:f>'계정과목'!B25</x:f>
        <x:v>퇴직급여충당부채</x:v>
      </x:c>
      <x:c r="C46" s="8" t="str">
        <x:f>'계정과목'!C25</x:f>
        <x:v>부채</x:v>
      </x:c>
      <x:c r="D46" s="12" t="n">
        <x:f>SUMIFS('전표'!$F$7:$F$306,'전표'!$E$7:$E$306,$A46,'전표'!$K$7:$K$306,$B$4)</x:f>
        <x:v>0</x:v>
      </x:c>
      <x:c r="E46" s="12" t="n">
        <x:f>SUMIFS('전표'!$G$7:$G$306,'전표'!$E$7:$E$306,$A46,'전표'!$K$7:$K$306,$B$4)</x:f>
        <x:v>0</x:v>
      </x:c>
      <x:c r="F46" s="12" t="n">
        <x:f>D46-E46</x:f>
        <x:v>0</x:v>
      </x:c>
    </x:row>
    <x:row r="47">
      <x:c r="A47" s="7" t="str">
        <x:f>'계정과목'!A26</x:f>
        <x:v>301</x:v>
      </x:c>
      <x:c r="B47" s="7" t="str">
        <x:f>'계정과목'!B26</x:f>
        <x:v>자본금</x:v>
      </x:c>
      <x:c r="C47" s="8" t="str">
        <x:f>'계정과목'!C26</x:f>
        <x:v>자본</x:v>
      </x:c>
      <x:c r="D47" s="12" t="n">
        <x:f>SUMIFS('전표'!$F$7:$F$306,'전표'!$E$7:$E$306,$A47,'전표'!$K$7:$K$306,$B$4)</x:f>
        <x:v>0</x:v>
      </x:c>
      <x:c r="E47" s="12" t="n">
        <x:f>SUMIFS('전표'!$G$7:$G$306,'전표'!$E$7:$E$306,$A47,'전표'!$K$7:$K$306,$B$4)</x:f>
        <x:v>30000000</x:v>
      </x:c>
      <x:c r="F47" s="12" t="n">
        <x:f>D47-E47</x:f>
        <x:v>-30000000</x:v>
      </x:c>
    </x:row>
    <x:row r="48">
      <x:c r="A48" s="7" t="str">
        <x:f>'계정과목'!A27</x:f>
        <x:v>302</x:v>
      </x:c>
      <x:c r="B48" s="7" t="str">
        <x:f>'계정과목'!B27</x:f>
        <x:v>인출금</x:v>
      </x:c>
      <x:c r="C48" s="8" t="str">
        <x:f>'계정과목'!C27</x:f>
        <x:v>자본</x:v>
      </x:c>
      <x:c r="D48" s="12" t="n">
        <x:f>SUMIFS('전표'!$F$7:$F$306,'전표'!$E$7:$E$306,$A48,'전표'!$K$7:$K$306,$B$4)</x:f>
        <x:v>0</x:v>
      </x:c>
      <x:c r="E48" s="12" t="n">
        <x:f>SUMIFS('전표'!$G$7:$G$306,'전표'!$E$7:$E$306,$A48,'전표'!$K$7:$K$306,$B$4)</x:f>
        <x:v>0</x:v>
      </x:c>
      <x:c r="F48" s="12" t="n">
        <x:f>D48-E48</x:f>
        <x:v>0</x:v>
      </x:c>
    </x:row>
    <x:row r="49">
      <x:c r="A49" s="7" t="str">
        <x:f>'계정과목'!A28</x:f>
        <x:v>310</x:v>
      </x:c>
      <x:c r="B49" s="7" t="str">
        <x:f>'계정과목'!B28</x:f>
        <x:v>이월결손금</x:v>
      </x:c>
      <x:c r="C49" s="8" t="str">
        <x:f>'계정과목'!C28</x:f>
        <x:v>자본</x:v>
      </x:c>
      <x:c r="D49" s="12" t="n">
        <x:f>SUMIFS('전표'!$F$7:$F$306,'전표'!$E$7:$E$306,$A49,'전표'!$K$7:$K$306,$B$4)</x:f>
        <x:v>0</x:v>
      </x:c>
      <x:c r="E49" s="12" t="n">
        <x:f>SUMIFS('전표'!$G$7:$G$306,'전표'!$E$7:$E$306,$A49,'전표'!$K$7:$K$306,$B$4)</x:f>
        <x:v>0</x:v>
      </x:c>
      <x:c r="F49" s="12" t="n">
        <x:f>D49-E49</x:f>
        <x:v>0</x:v>
      </x:c>
    </x:row>
    <x:row r="50">
      <x:c r="A50" s="7" t="str">
        <x:f>'계정과목'!A29</x:f>
        <x:v>320</x:v>
      </x:c>
      <x:c r="B50" s="7" t="str">
        <x:f>'계정과목'!B29</x:f>
        <x:v>당기순손익</x:v>
      </x:c>
      <x:c r="C50" s="8" t="str">
        <x:f>'계정과목'!C29</x:f>
        <x:v>자본</x:v>
      </x:c>
      <x:c r="D50" s="12" t="n">
        <x:f>SUMIFS('전표'!$F$7:$F$306,'전표'!$E$7:$E$306,$A50,'전표'!$K$7:$K$306,$B$4)</x:f>
        <x:v>0</x:v>
      </x:c>
      <x:c r="E50" s="12" t="n">
        <x:f>SUMIFS('전표'!$G$7:$G$306,'전표'!$E$7:$E$306,$A50,'전표'!$K$7:$K$306,$B$4)</x:f>
        <x:v>0</x:v>
      </x:c>
      <x:c r="F50" s="12" t="n">
        <x:f>D50-E50</x:f>
        <x:v>0</x:v>
      </x:c>
    </x:row>
    <x:row r="51">
      <x:c r="A51" s="7" t="str">
        <x:f>'계정과목'!A30</x:f>
        <x:v>401</x:v>
      </x:c>
      <x:c r="B51" s="7" t="str">
        <x:f>'계정과목'!B30</x:f>
        <x:v>체험·입장료수입</x:v>
      </x:c>
      <x:c r="C51" s="8" t="str">
        <x:f>'계정과목'!C30</x:f>
        <x:v>수익</x:v>
      </x:c>
      <x:c r="D51" s="12" t="n">
        <x:f>SUMIFS('전표'!$F$7:$F$306,'전표'!$E$7:$E$306,$A51,'전표'!$K$7:$K$306,$B$4)</x:f>
        <x:v>0</x:v>
      </x:c>
      <x:c r="E51" s="12" t="n">
        <x:f>SUMIFS('전표'!$G$7:$G$306,'전표'!$E$7:$E$306,$A51,'전표'!$K$7:$K$306,$B$4)</x:f>
        <x:v>1000000</x:v>
      </x:c>
      <x:c r="F51" s="12" t="n">
        <x:f>D51-E51</x:f>
        <x:v>-1000000</x:v>
      </x:c>
    </x:row>
    <x:row r="52">
      <x:c r="A52" s="7" t="str">
        <x:f>'계정과목'!A31</x:f>
        <x:v>402</x:v>
      </x:c>
      <x:c r="B52" s="7" t="str">
        <x:f>'계정과목'!B31</x:f>
        <x:v>프로그램·교육수입</x:v>
      </x:c>
      <x:c r="C52" s="8" t="str">
        <x:f>'계정과목'!C31</x:f>
        <x:v>수익</x:v>
      </x:c>
      <x:c r="D52" s="12" t="n">
        <x:f>SUMIFS('전표'!$F$7:$F$306,'전표'!$E$7:$E$306,$A52,'전표'!$K$7:$K$306,$B$4)</x:f>
        <x:v>0</x:v>
      </x:c>
      <x:c r="E52" s="12" t="n">
        <x:f>SUMIFS('전표'!$G$7:$G$306,'전표'!$E$7:$E$306,$A52,'전표'!$K$7:$K$306,$B$4)</x:f>
        <x:v>0</x:v>
      </x:c>
      <x:c r="F52" s="12" t="n">
        <x:f>D52-E52</x:f>
        <x:v>0</x:v>
      </x:c>
    </x:row>
    <x:row r="53">
      <x:c r="A53" s="7" t="str">
        <x:f>'계정과목'!A32</x:f>
        <x:v>403</x:v>
      </x:c>
      <x:c r="B53" s="7" t="str">
        <x:f>'계정과목'!B32</x:f>
        <x:v>매점매출</x:v>
      </x:c>
      <x:c r="C53" s="8" t="str">
        <x:f>'계정과목'!C32</x:f>
        <x:v>수익</x:v>
      </x:c>
      <x:c r="D53" s="12" t="n">
        <x:f>SUMIFS('전표'!$F$7:$F$306,'전표'!$E$7:$E$306,$A53,'전표'!$K$7:$K$306,$B$4)</x:f>
        <x:v>0</x:v>
      </x:c>
      <x:c r="E53" s="12" t="n">
        <x:f>SUMIFS('전표'!$G$7:$G$306,'전표'!$E$7:$E$306,$A53,'전표'!$K$7:$K$306,$B$4)</x:f>
        <x:v>300000</x:v>
      </x:c>
      <x:c r="F53" s="12" t="n">
        <x:f>D53-E53</x:f>
        <x:v>-300000</x:v>
      </x:c>
    </x:row>
    <x:row r="54">
      <x:c r="A54" s="7" t="str">
        <x:f>'계정과목'!A33</x:f>
        <x:v>404</x:v>
      </x:c>
      <x:c r="B54" s="7" t="str">
        <x:f>'계정과목'!B33</x:f>
        <x:v>임대수입</x:v>
      </x:c>
      <x:c r="C54" s="8" t="str">
        <x:f>'계정과목'!C33</x:f>
        <x:v>수익</x:v>
      </x:c>
      <x:c r="D54" s="12" t="n">
        <x:f>SUMIFS('전표'!$F$7:$F$306,'전표'!$E$7:$E$306,$A54,'전표'!$K$7:$K$306,$B$4)</x:f>
        <x:v>0</x:v>
      </x:c>
      <x:c r="E54" s="12" t="n">
        <x:f>SUMIFS('전표'!$G$7:$G$306,'전표'!$E$7:$E$306,$A54,'전표'!$K$7:$K$306,$B$4)</x:f>
        <x:v>0</x:v>
      </x:c>
      <x:c r="F54" s="12" t="n">
        <x:f>D54-E54</x:f>
        <x:v>0</x:v>
      </x:c>
    </x:row>
    <x:row r="55">
      <x:c r="A55" s="7" t="str">
        <x:f>'계정과목'!A34</x:f>
        <x:v>405</x:v>
      </x:c>
      <x:c r="B55" s="7" t="str">
        <x:f>'계정과목'!B34</x:f>
        <x:v>이자수입</x:v>
      </x:c>
      <x:c r="C55" s="8" t="str">
        <x:f>'계정과목'!C34</x:f>
        <x:v>수익</x:v>
      </x:c>
      <x:c r="D55" s="12" t="n">
        <x:f>SUMIFS('전표'!$F$7:$F$306,'전표'!$E$7:$E$306,$A55,'전표'!$K$7:$K$306,$B$4)</x:f>
        <x:v>0</x:v>
      </x:c>
      <x:c r="E55" s="12" t="n">
        <x:f>SUMIFS('전표'!$G$7:$G$306,'전표'!$E$7:$E$306,$A55,'전표'!$K$7:$K$306,$B$4)</x:f>
        <x:v>0</x:v>
      </x:c>
      <x:c r="F55" s="12" t="n">
        <x:f>D55-E55</x:f>
        <x:v>0</x:v>
      </x:c>
    </x:row>
    <x:row r="56">
      <x:c r="A56" s="7" t="str">
        <x:f>'계정과목'!A35</x:f>
        <x:v>410</x:v>
      </x:c>
      <x:c r="B56" s="7" t="str">
        <x:f>'계정과목'!B35</x:f>
        <x:v>잡이익</x:v>
      </x:c>
      <x:c r="C56" s="8" t="str">
        <x:f>'계정과목'!C35</x:f>
        <x:v>수익</x:v>
      </x:c>
      <x:c r="D56" s="12" t="n">
        <x:f>SUMIFS('전표'!$F$7:$F$306,'전표'!$E$7:$E$306,$A56,'전표'!$K$7:$K$306,$B$4)</x:f>
        <x:v>0</x:v>
      </x:c>
      <x:c r="E56" s="12" t="n">
        <x:f>SUMIFS('전표'!$G$7:$G$306,'전표'!$E$7:$E$306,$A56,'전표'!$K$7:$K$306,$B$4)</x:f>
        <x:v>0</x:v>
      </x:c>
      <x:c r="F56" s="12" t="n">
        <x:f>D56-E56</x:f>
        <x:v>0</x:v>
      </x:c>
    </x:row>
    <x:row r="57">
      <x:c r="A57" s="7" t="str">
        <x:f>'계정과목'!A36</x:f>
        <x:v>501</x:v>
      </x:c>
      <x:c r="B57" s="7" t="str">
        <x:f>'계정과목'!B36</x:f>
        <x:v>급여</x:v>
      </x:c>
      <x:c r="C57" s="8" t="str">
        <x:f>'계정과목'!C36</x:f>
        <x:v>비용</x:v>
      </x:c>
      <x:c r="D57" s="12" t="n">
        <x:f>SUMIFS('전표'!$F$7:$F$306,'전표'!$E$7:$E$306,$A57,'전표'!$K$7:$K$306,$B$4)</x:f>
        <x:v>2000000</x:v>
      </x:c>
      <x:c r="E57" s="12" t="n">
        <x:f>SUMIFS('전표'!$G$7:$G$306,'전표'!$E$7:$E$306,$A57,'전표'!$K$7:$K$306,$B$4)</x:f>
        <x:v>0</x:v>
      </x:c>
      <x:c r="F57" s="12" t="n">
        <x:f>D57-E57</x:f>
        <x:v>2000000</x:v>
      </x:c>
    </x:row>
    <x:row r="58">
      <x:c r="A58" s="7" t="str">
        <x:f>'계정과목'!A37</x:f>
        <x:v>502</x:v>
      </x:c>
      <x:c r="B58" s="7" t="str">
        <x:f>'계정과목'!B37</x:f>
        <x:v>상여금</x:v>
      </x:c>
      <x:c r="C58" s="8" t="str">
        <x:f>'계정과목'!C37</x:f>
        <x:v>비용</x:v>
      </x:c>
      <x:c r="D58" s="12" t="n">
        <x:f>SUMIFS('전표'!$F$7:$F$306,'전표'!$E$7:$E$306,$A58,'전표'!$K$7:$K$306,$B$4)</x:f>
        <x:v>0</x:v>
      </x:c>
      <x:c r="E58" s="12" t="n">
        <x:f>SUMIFS('전표'!$G$7:$G$306,'전표'!$E$7:$E$306,$A58,'전표'!$K$7:$K$306,$B$4)</x:f>
        <x:v>0</x:v>
      </x:c>
      <x:c r="F58" s="12" t="n">
        <x:f>D58-E58</x:f>
        <x:v>0</x:v>
      </x:c>
    </x:row>
    <x:row r="59">
      <x:c r="A59" s="7" t="str">
        <x:f>'계정과목'!A38</x:f>
        <x:v>503</x:v>
      </x:c>
      <x:c r="B59" s="7" t="str">
        <x:f>'계정과목'!B38</x:f>
        <x:v>퇴직급여</x:v>
      </x:c>
      <x:c r="C59" s="8" t="str">
        <x:f>'계정과목'!C38</x:f>
        <x:v>비용</x:v>
      </x:c>
      <x:c r="D59" s="12" t="n">
        <x:f>SUMIFS('전표'!$F$7:$F$306,'전표'!$E$7:$E$306,$A59,'전표'!$K$7:$K$306,$B$4)</x:f>
        <x:v>0</x:v>
      </x:c>
      <x:c r="E59" s="12" t="n">
        <x:f>SUMIFS('전표'!$G$7:$G$306,'전표'!$E$7:$E$306,$A59,'전표'!$K$7:$K$306,$B$4)</x:f>
        <x:v>0</x:v>
      </x:c>
      <x:c r="F59" s="12" t="n">
        <x:f>D59-E59</x:f>
        <x:v>0</x:v>
      </x:c>
    </x:row>
    <x:row r="60">
      <x:c r="A60" s="7" t="str">
        <x:f>'계정과목'!A39</x:f>
        <x:v>504</x:v>
      </x:c>
      <x:c r="B60" s="7" t="str">
        <x:f>'계정과목'!B39</x:f>
        <x:v>4대보험료(사업주부담)</x:v>
      </x:c>
      <x:c r="C60" s="8" t="str">
        <x:f>'계정과목'!C39</x:f>
        <x:v>비용</x:v>
      </x:c>
      <x:c r="D60" s="12" t="n">
        <x:f>SUMIFS('전표'!$F$7:$F$306,'전표'!$E$7:$E$306,$A60,'전표'!$K$7:$K$306,$B$4)</x:f>
        <x:v>140000</x:v>
      </x:c>
      <x:c r="E60" s="12" t="n">
        <x:f>SUMIFS('전표'!$G$7:$G$306,'전표'!$E$7:$E$306,$A60,'전표'!$K$7:$K$306,$B$4)</x:f>
        <x:v>0</x:v>
      </x:c>
      <x:c r="F60" s="12" t="n">
        <x:f>D60-E60</x:f>
        <x:v>140000</x:v>
      </x:c>
    </x:row>
    <x:row r="61">
      <x:c r="A61" s="7" t="str">
        <x:f>'계정과목'!A40</x:f>
        <x:v>510</x:v>
      </x:c>
      <x:c r="B61" s="7" t="str">
        <x:f>'계정과목'!B40</x:f>
        <x:v>임차료</x:v>
      </x:c>
      <x:c r="C61" s="8" t="str">
        <x:f>'계정과목'!C40</x:f>
        <x:v>비용</x:v>
      </x:c>
      <x:c r="D61" s="12" t="n">
        <x:f>SUMIFS('전표'!$F$7:$F$306,'전표'!$E$7:$E$306,$A61,'전표'!$K$7:$K$306,$B$4)</x:f>
        <x:v>1000000</x:v>
      </x:c>
      <x:c r="E61" s="12" t="n">
        <x:f>SUMIFS('전표'!$G$7:$G$306,'전표'!$E$7:$E$306,$A61,'전표'!$K$7:$K$306,$B$4)</x:f>
        <x:v>0</x:v>
      </x:c>
      <x:c r="F61" s="12" t="n">
        <x:f>D61-E61</x:f>
        <x:v>1000000</x:v>
      </x:c>
    </x:row>
    <x:row r="62">
      <x:c r="A62" s="7" t="str">
        <x:f>'계정과목'!A41</x:f>
        <x:v>511</x:v>
      </x:c>
      <x:c r="B62" s="7" t="str">
        <x:f>'계정과목'!B41</x:f>
        <x:v>수도광열비</x:v>
      </x:c>
      <x:c r="C62" s="8" t="str">
        <x:f>'계정과목'!C41</x:f>
        <x:v>비용</x:v>
      </x:c>
      <x:c r="D62" s="12" t="n">
        <x:f>SUMIFS('전표'!$F$7:$F$306,'전표'!$E$7:$E$306,$A62,'전표'!$K$7:$K$306,$B$4)</x:f>
        <x:v>0</x:v>
      </x:c>
      <x:c r="E62" s="12" t="n">
        <x:f>SUMIFS('전표'!$G$7:$G$306,'전표'!$E$7:$E$306,$A62,'전표'!$K$7:$K$306,$B$4)</x:f>
        <x:v>0</x:v>
      </x:c>
      <x:c r="F62" s="12" t="n">
        <x:f>D62-E62</x:f>
        <x:v>0</x:v>
      </x:c>
    </x:row>
    <x:row r="63">
      <x:c r="A63" s="7" t="str">
        <x:f>'계정과목'!A42</x:f>
        <x:v>512</x:v>
      </x:c>
      <x:c r="B63" s="7" t="str">
        <x:f>'계정과목'!B42</x:f>
        <x:v>통신비</x:v>
      </x:c>
      <x:c r="C63" s="8" t="str">
        <x:f>'계정과목'!C42</x:f>
        <x:v>비용</x:v>
      </x:c>
      <x:c r="D63" s="12" t="n">
        <x:f>SUMIFS('전표'!$F$7:$F$306,'전표'!$E$7:$E$306,$A63,'전표'!$K$7:$K$306,$B$4)</x:f>
        <x:v>0</x:v>
      </x:c>
      <x:c r="E63" s="12" t="n">
        <x:f>SUMIFS('전표'!$G$7:$G$306,'전표'!$E$7:$E$306,$A63,'전표'!$K$7:$K$306,$B$4)</x:f>
        <x:v>0</x:v>
      </x:c>
      <x:c r="F63" s="12" t="n">
        <x:f>D63-E63</x:f>
        <x:v>0</x:v>
      </x:c>
    </x:row>
    <x:row r="64">
      <x:c r="A64" s="7" t="str">
        <x:f>'계정과목'!A43</x:f>
        <x:v>513</x:v>
      </x:c>
      <x:c r="B64" s="7" t="str">
        <x:f>'계정과목'!B43</x:f>
        <x:v>보험료</x:v>
      </x:c>
      <x:c r="C64" s="8" t="str">
        <x:f>'계정과목'!C43</x:f>
        <x:v>비용</x:v>
      </x:c>
      <x:c r="D64" s="12" t="n">
        <x:f>SUMIFS('전표'!$F$7:$F$306,'전표'!$E$7:$E$306,$A64,'전표'!$K$7:$K$306,$B$4)</x:f>
        <x:v>0</x:v>
      </x:c>
      <x:c r="E64" s="12" t="n">
        <x:f>SUMIFS('전표'!$G$7:$G$306,'전표'!$E$7:$E$306,$A64,'전표'!$K$7:$K$306,$B$4)</x:f>
        <x:v>0</x:v>
      </x:c>
      <x:c r="F64" s="12" t="n">
        <x:f>D64-E64</x:f>
        <x:v>0</x:v>
      </x:c>
    </x:row>
    <x:row r="65">
      <x:c r="A65" s="7" t="str">
        <x:f>'계정과목'!A44</x:f>
        <x:v>514</x:v>
      </x:c>
      <x:c r="B65" s="7" t="str">
        <x:f>'계정과목'!B44</x:f>
        <x:v>세금과공과</x:v>
      </x:c>
      <x:c r="C65" s="8" t="str">
        <x:f>'계정과목'!C44</x:f>
        <x:v>비용</x:v>
      </x:c>
      <x:c r="D65" s="12" t="n">
        <x:f>SUMIFS('전표'!$F$7:$F$306,'전표'!$E$7:$E$306,$A65,'전표'!$K$7:$K$306,$B$4)</x:f>
        <x:v>0</x:v>
      </x:c>
      <x:c r="E65" s="12" t="n">
        <x:f>SUMIFS('전표'!$G$7:$G$306,'전표'!$E$7:$E$306,$A65,'전표'!$K$7:$K$306,$B$4)</x:f>
        <x:v>0</x:v>
      </x:c>
      <x:c r="F65" s="12" t="n">
        <x:f>D65-E65</x:f>
        <x:v>0</x:v>
      </x:c>
    </x:row>
    <x:row r="66">
      <x:c r="A66" s="7" t="str">
        <x:f>'계정과목'!A45</x:f>
        <x:v>515</x:v>
      </x:c>
      <x:c r="B66" s="7" t="str">
        <x:f>'계정과목'!B45</x:f>
        <x:v>지급수수료(결제·카드)</x:v>
      </x:c>
      <x:c r="C66" s="8" t="str">
        <x:f>'계정과목'!C45</x:f>
        <x:v>비용</x:v>
      </x:c>
      <x:c r="D66" s="12" t="n">
        <x:f>SUMIFS('전표'!$F$7:$F$306,'전표'!$E$7:$E$306,$A66,'전표'!$K$7:$K$306,$B$4)</x:f>
        <x:v>22000</x:v>
      </x:c>
      <x:c r="E66" s="12" t="n">
        <x:f>SUMIFS('전표'!$G$7:$G$306,'전표'!$E$7:$E$306,$A66,'전표'!$K$7:$K$306,$B$4)</x:f>
        <x:v>0</x:v>
      </x:c>
      <x:c r="F66" s="12" t="n">
        <x:f>D66-E66</x:f>
        <x:v>22000</x:v>
      </x:c>
    </x:row>
    <x:row r="67">
      <x:c r="A67" s="7" t="str">
        <x:f>'계정과목'!A46</x:f>
        <x:v>516</x:v>
      </x:c>
      <x:c r="B67" s="7" t="str">
        <x:f>'계정과목'!B46</x:f>
        <x:v>소모품비</x:v>
      </x:c>
      <x:c r="C67" s="8" t="str">
        <x:f>'계정과목'!C46</x:f>
        <x:v>비용</x:v>
      </x:c>
      <x:c r="D67" s="12" t="n">
        <x:f>SUMIFS('전표'!$F$7:$F$306,'전표'!$E$7:$E$306,$A67,'전표'!$K$7:$K$306,$B$4)</x:f>
        <x:v>0</x:v>
      </x:c>
      <x:c r="E67" s="12" t="n">
        <x:f>SUMIFS('전표'!$G$7:$G$306,'전표'!$E$7:$E$306,$A67,'전표'!$K$7:$K$306,$B$4)</x:f>
        <x:v>0</x:v>
      </x:c>
      <x:c r="F67" s="12" t="n">
        <x:f>D67-E67</x:f>
        <x:v>0</x:v>
      </x:c>
    </x:row>
    <x:row r="68">
      <x:c r="A68" s="7" t="str">
        <x:f>'계정과목'!A47</x:f>
        <x:v>517</x:v>
      </x:c>
      <x:c r="B68" s="7" t="str">
        <x:f>'계정과목'!B47</x:f>
        <x:v>여비교통비</x:v>
      </x:c>
      <x:c r="C68" s="8" t="str">
        <x:f>'계정과목'!C47</x:f>
        <x:v>비용</x:v>
      </x:c>
      <x:c r="D68" s="12" t="n">
        <x:f>SUMIFS('전표'!$F$7:$F$306,'전표'!$E$7:$E$306,$A68,'전표'!$K$7:$K$306,$B$4)</x:f>
        <x:v>0</x:v>
      </x:c>
      <x:c r="E68" s="12" t="n">
        <x:f>SUMIFS('전표'!$G$7:$G$306,'전표'!$E$7:$E$306,$A68,'전표'!$K$7:$K$306,$B$4)</x:f>
        <x:v>0</x:v>
      </x:c>
      <x:c r="F68" s="12" t="n">
        <x:f>D68-E68</x:f>
        <x:v>0</x:v>
      </x:c>
    </x:row>
    <x:row r="69">
      <x:c r="A69" s="7" t="str">
        <x:f>'계정과목'!A48</x:f>
        <x:v>518</x:v>
      </x:c>
      <x:c r="B69" s="7" t="str">
        <x:f>'계정과목'!B48</x:f>
        <x:v>차량유지비</x:v>
      </x:c>
      <x:c r="C69" s="8" t="str">
        <x:f>'계정과목'!C48</x:f>
        <x:v>비용</x:v>
      </x:c>
      <x:c r="D69" s="12" t="n">
        <x:f>SUMIFS('전표'!$F$7:$F$306,'전표'!$E$7:$E$306,$A69,'전표'!$K$7:$K$306,$B$4)</x:f>
        <x:v>0</x:v>
      </x:c>
      <x:c r="E69" s="12" t="n">
        <x:f>SUMIFS('전표'!$G$7:$G$306,'전표'!$E$7:$E$306,$A69,'전표'!$K$7:$K$306,$B$4)</x:f>
        <x:v>0</x:v>
      </x:c>
      <x:c r="F69" s="12" t="n">
        <x:f>D69-E69</x:f>
        <x:v>0</x:v>
      </x:c>
    </x:row>
    <x:row r="70">
      <x:c r="A70" s="7" t="str">
        <x:f>'계정과목'!A49</x:f>
        <x:v>519</x:v>
      </x:c>
      <x:c r="B70" s="7" t="str">
        <x:f>'계정과목'!B49</x:f>
        <x:v>광고선전비</x:v>
      </x:c>
      <x:c r="C70" s="8" t="str">
        <x:f>'계정과목'!C49</x:f>
        <x:v>비용</x:v>
      </x:c>
      <x:c r="D70" s="12" t="n">
        <x:f>SUMIFS('전표'!$F$7:$F$306,'전표'!$E$7:$E$306,$A70,'전표'!$K$7:$K$306,$B$4)</x:f>
        <x:v>0</x:v>
      </x:c>
      <x:c r="E70" s="12" t="n">
        <x:f>SUMIFS('전표'!$G$7:$G$306,'전표'!$E$7:$E$306,$A70,'전표'!$K$7:$K$306,$B$4)</x:f>
        <x:v>0</x:v>
      </x:c>
      <x:c r="F70" s="12" t="n">
        <x:f>D70-E70</x:f>
        <x:v>0</x:v>
      </x:c>
    </x:row>
    <x:row r="71">
      <x:c r="A71" s="7" t="str">
        <x:f>'계정과목'!A50</x:f>
        <x:v>520</x:v>
      </x:c>
      <x:c r="B71" s="7" t="str">
        <x:f>'계정과목'!B50</x:f>
        <x:v>접대비</x:v>
      </x:c>
      <x:c r="C71" s="8" t="str">
        <x:f>'계정과목'!C50</x:f>
        <x:v>비용</x:v>
      </x:c>
      <x:c r="D71" s="12" t="n">
        <x:f>SUMIFS('전표'!$F$7:$F$306,'전표'!$E$7:$E$306,$A71,'전표'!$K$7:$K$306,$B$4)</x:f>
        <x:v>0</x:v>
      </x:c>
      <x:c r="E71" s="12" t="n">
        <x:f>SUMIFS('전표'!$G$7:$G$306,'전표'!$E$7:$E$306,$A71,'전표'!$K$7:$K$306,$B$4)</x:f>
        <x:v>0</x:v>
      </x:c>
      <x:c r="F71" s="12" t="n">
        <x:f>D71-E71</x:f>
        <x:v>0</x:v>
      </x:c>
    </x:row>
    <x:row r="72">
      <x:c r="A72" s="7" t="str">
        <x:f>'계정과목'!A51</x:f>
        <x:v>521</x:v>
      </x:c>
      <x:c r="B72" s="7" t="str">
        <x:f>'계정과목'!B51</x:f>
        <x:v>교육훈련비</x:v>
      </x:c>
      <x:c r="C72" s="8" t="str">
        <x:f>'계정과목'!C51</x:f>
        <x:v>비용</x:v>
      </x:c>
      <x:c r="D72" s="12" t="n">
        <x:f>SUMIFS('전표'!$F$7:$F$306,'전표'!$E$7:$E$306,$A72,'전표'!$K$7:$K$306,$B$4)</x:f>
        <x:v>0</x:v>
      </x:c>
      <x:c r="E72" s="12" t="n">
        <x:f>SUMIFS('전표'!$G$7:$G$306,'전표'!$E$7:$E$306,$A72,'전표'!$K$7:$K$306,$B$4)</x:f>
        <x:v>0</x:v>
      </x:c>
      <x:c r="F72" s="12" t="n">
        <x:f>D72-E72</x:f>
        <x:v>0</x:v>
      </x:c>
    </x:row>
    <x:row r="73">
      <x:c r="A73" s="7" t="str">
        <x:f>'계정과목'!A52</x:f>
        <x:v>522</x:v>
      </x:c>
      <x:c r="B73" s="7" t="str">
        <x:f>'계정과목'!B52</x:f>
        <x:v>수선비</x:v>
      </x:c>
      <x:c r="C73" s="8" t="str">
        <x:f>'계정과목'!C52</x:f>
        <x:v>비용</x:v>
      </x:c>
      <x:c r="D73" s="12" t="n">
        <x:f>SUMIFS('전표'!$F$7:$F$306,'전표'!$E$7:$E$306,$A73,'전표'!$K$7:$K$306,$B$4)</x:f>
        <x:v>0</x:v>
      </x:c>
      <x:c r="E73" s="12" t="n">
        <x:f>SUMIFS('전표'!$G$7:$G$306,'전표'!$E$7:$E$306,$A73,'전표'!$K$7:$K$306,$B$4)</x:f>
        <x:v>0</x:v>
      </x:c>
      <x:c r="F73" s="12" t="n">
        <x:f>D73-E73</x:f>
        <x:v>0</x:v>
      </x:c>
    </x:row>
    <x:row r="74">
      <x:c r="A74" s="7" t="str">
        <x:f>'계정과목'!A53</x:f>
        <x:v>523</x:v>
      </x:c>
      <x:c r="B74" s="7" t="str">
        <x:f>'계정과목'!B53</x:f>
        <x:v>외주용역비</x:v>
      </x:c>
      <x:c r="C74" s="8" t="str">
        <x:f>'계정과목'!C53</x:f>
        <x:v>비용</x:v>
      </x:c>
      <x:c r="D74" s="12" t="n">
        <x:f>SUMIFS('전표'!$F$7:$F$306,'전표'!$E$7:$E$306,$A74,'전표'!$K$7:$K$306,$B$4)</x:f>
        <x:v>0</x:v>
      </x:c>
      <x:c r="E74" s="12" t="n">
        <x:f>SUMIFS('전표'!$G$7:$G$306,'전표'!$E$7:$E$306,$A74,'전표'!$K$7:$K$306,$B$4)</x:f>
        <x:v>0</x:v>
      </x:c>
      <x:c r="F74" s="12" t="n">
        <x:f>D74-E74</x:f>
        <x:v>0</x:v>
      </x:c>
    </x:row>
    <x:row r="75">
      <x:c r="A75" s="7" t="str">
        <x:f>'계정과목'!A54</x:f>
        <x:v>524</x:v>
      </x:c>
      <x:c r="B75" s="7" t="str">
        <x:f>'계정과목'!B54</x:f>
        <x:v>감가상각비</x:v>
      </x:c>
      <x:c r="C75" s="8" t="str">
        <x:f>'계정과목'!C54</x:f>
        <x:v>비용</x:v>
      </x:c>
      <x:c r="D75" s="12" t="n">
        <x:f>SUMIFS('전표'!$F$7:$F$306,'전표'!$E$7:$E$306,$A75,'전표'!$K$7:$K$306,$B$4)</x:f>
        <x:v>83000</x:v>
      </x:c>
      <x:c r="E75" s="12" t="n">
        <x:f>SUMIFS('전표'!$G$7:$G$306,'전표'!$E$7:$E$306,$A75,'전표'!$K$7:$K$306,$B$4)</x:f>
        <x:v>0</x:v>
      </x:c>
      <x:c r="F75" s="12" t="n">
        <x:f>D75-E75</x:f>
        <x:v>83000</x:v>
      </x:c>
    </x:row>
    <x:row r="76">
      <x:c r="A76" s="7" t="str">
        <x:f>'계정과목'!A55</x:f>
        <x:v>530</x:v>
      </x:c>
      <x:c r="B76" s="7" t="str">
        <x:f>'계정과목'!B55</x:f>
        <x:v>잡비</x:v>
      </x:c>
      <x:c r="C76" s="8" t="str">
        <x:f>'계정과목'!C55</x:f>
        <x:v>비용</x:v>
      </x:c>
      <x:c r="D76" s="12" t="n">
        <x:f>SUMIFS('전표'!$F$7:$F$306,'전표'!$E$7:$E$306,$A76,'전표'!$K$7:$K$306,$B$4)</x:f>
        <x:v>50000</x:v>
      </x:c>
      <x:c r="E76" s="12" t="n">
        <x:f>SUMIFS('전표'!$G$7:$G$306,'전표'!$E$7:$E$306,$A76,'전표'!$K$7:$K$306,$B$4)</x:f>
        <x:v>0</x:v>
      </x:c>
      <x:c r="F76" s="12" t="n">
        <x:f>D76-E76</x:f>
        <x:v>50000</x:v>
      </x:c>
    </x:row>
    <x:row r="77">
      <x:c r="A77" s="7" t="str">
        <x:f>'계정과목'!A56</x:f>
        <x:v>540</x:v>
      </x:c>
      <x:c r="B77" s="7" t="str">
        <x:f>'계정과목'!B56</x:f>
        <x:v>이자비용</x:v>
      </x:c>
      <x:c r="C77" s="8" t="str">
        <x:f>'계정과목'!C56</x:f>
        <x:v>비용</x:v>
      </x:c>
      <x:c r="D77" s="12" t="n">
        <x:f>SUMIFS('전표'!$F$7:$F$306,'전표'!$E$7:$E$306,$A77,'전표'!$K$7:$K$306,$B$4)</x:f>
        <x:v>0</x:v>
      </x:c>
      <x:c r="E77" s="12" t="n">
        <x:f>SUMIFS('전표'!$G$7:$G$306,'전표'!$E$7:$E$306,$A77,'전표'!$K$7:$K$306,$B$4)</x:f>
        <x:v>0</x:v>
      </x:c>
      <x:c r="F77" s="12" t="n">
        <x:f>D77-E77</x:f>
        <x:v>0</x:v>
      </x:c>
    </x:row>
    <x:row r="78">
      <x:c r="A78" s="24" t="str">
        <x:v>합계</x:v>
      </x:c>
      <x:c r="B78" s="24"/>
      <x:c r="C78" s="24"/>
      <x:c r="D78" s="25" t="n">
        <x:f>SUM(D27:D77)</x:f>
        <x:v>54825000</x:v>
      </x:c>
      <x:c r="E78" s="25" t="n">
        <x:f>SUM(E27:E77)</x:f>
        <x:v>54825000</x:v>
      </x:c>
      <x:c r="F78" s="25" t="n">
        <x:f>SUM(F27:F77)</x:f>
        <x:v>0</x:v>
      </x:c>
    </x:row>
  </x:sheetData>
  <x:conditionalFormatting sqref="B10:B10">
    <x:cfRule type="containsText" dxfId="0" priority="1" operator="containsText" text="불일치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3" hidden="0" customWidth="1"/>
    <x:col min="4" max="4" width="26" hidden="0" customWidth="1"/>
    <x:col min="5" max="5" width="11" hidden="0" customWidth="1"/>
    <x:col min="6" max="6" width="13" hidden="0" customWidth="1"/>
    <x:col min="7" max="7" width="13" hidden="0" customWidth="1"/>
    <x:col min="8" max="8" width="12" hidden="0" customWidth="1"/>
    <x:col min="9" max="9" width="16" hidden="0" customWidth="1"/>
    <x:col min="10" max="10" width="14" hidden="0" customWidth="1"/>
    <x:col min="11" max="11" width="10" hidden="0" customWidth="1"/>
    <x:col min="12" max="12" width="22" hidden="0" customWidth="1"/>
    <x:col min="13" max="13" width="8" hidden="0" customWidth="1"/>
    <x:col min="14" max="14" width="11" hidden="0" customWidth="1"/>
    <x:col min="15" max="15" width="10" hidden="0" customWidth="1"/>
    <x:col min="16" max="16" width="14" hidden="0" customWidth="1"/>
    <x:col min="17" max="17" width="12" hidden="0" customWidth="1"/>
  </x:cols>
  <x:sheetData>
    <x:row r="2">
      <x:c r="A2" s="1" t="str">
        <x:v>전표 입력</x:v>
      </x:c>
    </x:row>
    <x:row r="3">
      <x:c r="A3" s="2" t="str">
        <x:v>같은 전표번호의 차변 합계와 대변 합계는 같아야 합니다.</x:v>
      </x:c>
    </x:row>
    <x:row r="4">
      <x:c r="A4" s="2" t="str">
        <x:v>계정코드는 '계정과목' 시트에서 선택합니다. 아래 샘플 전표는 지우고 사용하십시오.</x:v>
      </x:c>
    </x:row>
    <x:row r="6">
      <x:c r="A6" s="6" t="str">
        <x:v>전표번호</x:v>
      </x:c>
      <x:c r="B6" s="6" t="str">
        <x:v>날짜</x:v>
      </x:c>
      <x:c r="C6" s="6" t="str">
        <x:v>증빙</x:v>
      </x:c>
      <x:c r="D6" s="6" t="str">
        <x:v>적요</x:v>
      </x:c>
      <x:c r="E6" s="6" t="str">
        <x:v>계정코드</x:v>
      </x:c>
      <x:c r="F6" s="6" t="str">
        <x:v>차변</x:v>
      </x:c>
      <x:c r="G6" s="6" t="str">
        <x:v>대변</x:v>
      </x:c>
      <x:c r="H6" s="6" t="str">
        <x:v>부가세액</x:v>
      </x:c>
      <x:c r="I6" s="6" t="str">
        <x:v>거래처</x:v>
      </x:c>
      <x:c r="J6" s="6" t="str">
        <x:v>비고</x:v>
      </x:c>
      <x:c r="K6" s="10" t="str">
        <x:v>기간</x:v>
      </x:c>
      <x:c r="L6" s="10" t="str">
        <x:v>계정명</x:v>
      </x:c>
      <x:c r="M6" s="10" t="str">
        <x:v>유형</x:v>
      </x:c>
      <x:c r="N6" s="10" t="str">
        <x:v>부가세구분</x:v>
      </x:c>
      <x:c r="O6" s="10" t="str">
        <x:v>등록여부</x:v>
      </x:c>
      <x:c r="P6" s="10" t="str">
        <x:v>전표 차대차액</x:v>
      </x:c>
      <x:c r="Q6" s="10" t="str">
        <x:v>차대 불일치</x:v>
      </x:c>
    </x:row>
    <x:row r="7">
      <x:c r="A7" s="7" t="str">
        <x:v>V-2026-09-001</x:v>
      </x:c>
      <x:c r="B7" s="11" t="n">
        <x:v>46266</x:v>
      </x:c>
      <x:c r="C7" s="7" t="str">
        <x:v>기타</x:v>
      </x:c>
      <x:c r="D7" s="7" t="str">
        <x:v>자본금 납입</x:v>
      </x:c>
      <x:c r="E7" s="7" t="str">
        <x:v>102</x:v>
      </x:c>
      <x:c r="F7" s="13" t="n">
        <x:v>30000000</x:v>
      </x:c>
      <x:c r="G7" s="13"/>
      <x:c r="H7" s="13"/>
      <x:c r="I7" s="7" t="str">
        <x:v>대표</x:v>
      </x:c>
      <x:c r="J7" s="7" t="str"/>
      <x:c r="K7" s="9" t="str">
        <x:f>IF($B7="","",TEXT($B7,"yyyy-mm"))</x:f>
        <x:v>2026-09</x:v>
      </x:c>
      <x:c r="L7" s="9" t="str">
        <x:f>IF($E7="","",IFERROR(INDEX('계정과목'!$B$6:$B$56,MATCH($E7,'계정과목'!$A$6:$A$56,0)),"미등록"))</x:f>
        <x:v>보통예금</x:v>
      </x:c>
      <x:c r="M7" s="9" t="str">
        <x:f>IF($E7="","",IFERROR(INDEX('계정과목'!$C$6:$C$56,MATCH($E7,'계정과목'!$A$6:$A$56,0)),""))</x:f>
        <x:v>자산</x:v>
      </x:c>
      <x:c r="N7" s="9" t="str">
        <x:f>IF($E7="","",IFERROR(INDEX('계정과목'!$D$6:$D$56,MATCH($E7,'계정과목'!$A$6:$A$56,0)),""))</x:f>
        <x:v>해당없음</x:v>
      </x:c>
      <x:c r="O7" s="9" t="str">
        <x:f>IF($E7="","",IF(COUNTIF('계정과목'!$A$6:$A$56,$E7)=0,"미등록","정상"))</x:f>
        <x:v>정상</x:v>
      </x:c>
      <x:c r="P7" s="14" t="n">
        <x:f>IF($A7="","",ROUND(SUMIFS('전표'!$F$7:$F$306,'전표'!$A$7:$A$306,$A7)-SUMIFS('전표'!$G$7:$G$306,'전표'!$A$7:$A$306,$A7),0))</x:f>
        <x:v>0</x:v>
      </x:c>
      <x:c r="Q7" s="14" t="n">
        <x:f>IF(ISNUMBER($P7),IF(ABS($P7)&gt;=1,1,0),0)</x:f>
        <x:v>0</x:v>
      </x:c>
    </x:row>
    <x:row r="8">
      <x:c r="A8" s="7" t="str">
        <x:v>V-2026-09-001</x:v>
      </x:c>
      <x:c r="B8" s="11" t="n">
        <x:v>46266</x:v>
      </x:c>
      <x:c r="C8" s="7" t="str">
        <x:v>기타</x:v>
      </x:c>
      <x:c r="D8" s="7" t="str">
        <x:v>자본금 납입</x:v>
      </x:c>
      <x:c r="E8" s="7" t="str">
        <x:v>301</x:v>
      </x:c>
      <x:c r="F8" s="13"/>
      <x:c r="G8" s="13" t="n">
        <x:v>30000000</x:v>
      </x:c>
      <x:c r="H8" s="13"/>
      <x:c r="I8" s="7" t="str">
        <x:v>대표</x:v>
      </x:c>
      <x:c r="J8" s="7" t="str"/>
      <x:c r="K8" s="9" t="str">
        <x:f>IF($B8="","",TEXT($B8,"yyyy-mm"))</x:f>
        <x:v>2026-09</x:v>
      </x:c>
      <x:c r="L8" s="9" t="str">
        <x:f>IF($E8="","",IFERROR(INDEX('계정과목'!$B$6:$B$56,MATCH($E8,'계정과목'!$A$6:$A$56,0)),"미등록"))</x:f>
        <x:v>자본금</x:v>
      </x:c>
      <x:c r="M8" s="9" t="str">
        <x:f>IF($E8="","",IFERROR(INDEX('계정과목'!$C$6:$C$56,MATCH($E8,'계정과목'!$A$6:$A$56,0)),""))</x:f>
        <x:v>자본</x:v>
      </x:c>
      <x:c r="N8" s="9" t="str">
        <x:f>IF($E8="","",IFERROR(INDEX('계정과목'!$D$6:$D$56,MATCH($E8,'계정과목'!$A$6:$A$56,0)),""))</x:f>
        <x:v>해당없음</x:v>
      </x:c>
      <x:c r="O8" s="9" t="str">
        <x:f>IF($E8="","",IF(COUNTIF('계정과목'!$A$6:$A$56,$E8)=0,"미등록","정상"))</x:f>
        <x:v>정상</x:v>
      </x:c>
      <x:c r="P8" s="14" t="n">
        <x:f>IF($A8="","",ROUND(SUMIFS('전표'!$F$7:$F$306,'전표'!$A$7:$A$306,$A8)-SUMIFS('전표'!$G$7:$G$306,'전표'!$A$7:$A$306,$A8),0))</x:f>
        <x:v>0</x:v>
      </x:c>
      <x:c r="Q8" s="14" t="n">
        <x:f>IF(ISNUMBER($P8),IF(ABS($P8)&gt;=1,1,0),0)</x:f>
        <x:v>0</x:v>
      </x:c>
    </x:row>
    <x:row r="9">
      <x:c r="A9" s="7" t="str">
        <x:v>V-2026-09-002</x:v>
      </x:c>
      <x:c r="B9" s="11" t="n">
        <x:v>46267</x:v>
      </x:c>
      <x:c r="C9" s="7" t="str">
        <x:v>기타</x:v>
      </x:c>
      <x:c r="D9" s="7" t="str">
        <x:v>임차보증금 지급</x:v>
      </x:c>
      <x:c r="E9" s="7" t="str">
        <x:v>180</x:v>
      </x:c>
      <x:c r="F9" s="13" t="n">
        <x:v>20000000</x:v>
      </x:c>
      <x:c r="G9" s="13"/>
      <x:c r="H9" s="13"/>
      <x:c r="I9" s="7" t="str">
        <x:v>예시 임대인</x:v>
      </x:c>
      <x:c r="J9" s="7" t="str"/>
      <x:c r="K9" s="9" t="str">
        <x:f>IF($B9="","",TEXT($B9,"yyyy-mm"))</x:f>
        <x:v>2026-09</x:v>
      </x:c>
      <x:c r="L9" s="9" t="str">
        <x:f>IF($E9="","",IFERROR(INDEX('계정과목'!$B$6:$B$56,MATCH($E9,'계정과목'!$A$6:$A$56,0)),"미등록"))</x:f>
        <x:v>임차보증금</x:v>
      </x:c>
      <x:c r="M9" s="9" t="str">
        <x:f>IF($E9="","",IFERROR(INDEX('계정과목'!$C$6:$C$56,MATCH($E9,'계정과목'!$A$6:$A$56,0)),""))</x:f>
        <x:v>자산</x:v>
      </x:c>
      <x:c r="N9" s="9" t="str">
        <x:f>IF($E9="","",IFERROR(INDEX('계정과목'!$D$6:$D$56,MATCH($E9,'계정과목'!$A$6:$A$56,0)),""))</x:f>
        <x:v>해당없음</x:v>
      </x:c>
      <x:c r="O9" s="9" t="str">
        <x:f>IF($E9="","",IF(COUNTIF('계정과목'!$A$6:$A$56,$E9)=0,"미등록","정상"))</x:f>
        <x:v>정상</x:v>
      </x:c>
      <x:c r="P9" s="14" t="n">
        <x:f>IF($A9="","",ROUND(SUMIFS('전표'!$F$7:$F$306,'전표'!$A$7:$A$306,$A9)-SUMIFS('전표'!$G$7:$G$306,'전표'!$A$7:$A$306,$A9),0))</x:f>
        <x:v>0</x:v>
      </x:c>
      <x:c r="Q9" s="14" t="n">
        <x:f>IF(ISNUMBER($P9),IF(ABS($P9)&gt;=1,1,0),0)</x:f>
        <x:v>0</x:v>
      </x:c>
    </x:row>
    <x:row r="10">
      <x:c r="A10" s="7" t="str">
        <x:v>V-2026-09-002</x:v>
      </x:c>
      <x:c r="B10" s="11" t="n">
        <x:v>46267</x:v>
      </x:c>
      <x:c r="C10" s="7" t="str">
        <x:v>기타</x:v>
      </x:c>
      <x:c r="D10" s="7" t="str">
        <x:v>임차보증금 지급</x:v>
      </x:c>
      <x:c r="E10" s="7" t="str">
        <x:v>102</x:v>
      </x:c>
      <x:c r="F10" s="13"/>
      <x:c r="G10" s="13" t="n">
        <x:v>20000000</x:v>
      </x:c>
      <x:c r="H10" s="13"/>
      <x:c r="I10" s="7" t="str">
        <x:v>예시 임대인</x:v>
      </x:c>
      <x:c r="J10" s="7" t="str"/>
      <x:c r="K10" s="9" t="str">
        <x:f>IF($B10="","",TEXT($B10,"yyyy-mm"))</x:f>
        <x:v>2026-09</x:v>
      </x:c>
      <x:c r="L10" s="9" t="str">
        <x:f>IF($E10="","",IFERROR(INDEX('계정과목'!$B$6:$B$56,MATCH($E10,'계정과목'!$A$6:$A$56,0)),"미등록"))</x:f>
        <x:v>보통예금</x:v>
      </x:c>
      <x:c r="M10" s="9" t="str">
        <x:f>IF($E10="","",IFERROR(INDEX('계정과목'!$C$6:$C$56,MATCH($E10,'계정과목'!$A$6:$A$56,0)),""))</x:f>
        <x:v>자산</x:v>
      </x:c>
      <x:c r="N10" s="9" t="str">
        <x:f>IF($E10="","",IFERROR(INDEX('계정과목'!$D$6:$D$56,MATCH($E10,'계정과목'!$A$6:$A$56,0)),""))</x:f>
        <x:v>해당없음</x:v>
      </x:c>
      <x:c r="O10" s="9" t="str">
        <x:f>IF($E10="","",IF(COUNTIF('계정과목'!$A$6:$A$56,$E10)=0,"미등록","정상"))</x:f>
        <x:v>정상</x:v>
      </x:c>
      <x:c r="P10" s="14" t="n">
        <x:f>IF($A10="","",ROUND(SUMIFS('전표'!$F$7:$F$306,'전표'!$A$7:$A$306,$A10)-SUMIFS('전표'!$G$7:$G$306,'전표'!$A$7:$A$306,$A10),0))</x:f>
        <x:v>0</x:v>
      </x:c>
      <x:c r="Q10" s="14" t="n">
        <x:f>IF(ISNUMBER($P10),IF(ABS($P10)&gt;=1,1,0),0)</x:f>
        <x:v>0</x:v>
      </x:c>
    </x:row>
    <x:row r="11">
      <x:c r="A11" s="7" t="str">
        <x:v>V-2026-09-003</x:v>
      </x:c>
      <x:c r="B11" s="11" t="n">
        <x:v>46270</x:v>
      </x:c>
      <x:c r="C11" s="7" t="str">
        <x:v>세금계산서</x:v>
      </x:c>
      <x:c r="D11" s="7" t="str">
        <x:v>9월 임차료</x:v>
      </x:c>
      <x:c r="E11" s="7" t="str">
        <x:v>510</x:v>
      </x:c>
      <x:c r="F11" s="13" t="n">
        <x:v>1000000</x:v>
      </x:c>
      <x:c r="G11" s="13"/>
      <x:c r="H11" s="13" t="n">
        <x:v>100000</x:v>
      </x:c>
      <x:c r="I11" s="7" t="str">
        <x:v>예시 임대인</x:v>
      </x:c>
      <x:c r="J11" s="7" t="str"/>
      <x:c r="K11" s="9" t="str">
        <x:f>IF($B11="","",TEXT($B11,"yyyy-mm"))</x:f>
        <x:v>2026-09</x:v>
      </x:c>
      <x:c r="L11" s="9" t="str">
        <x:f>IF($E11="","",IFERROR(INDEX('계정과목'!$B$6:$B$56,MATCH($E11,'계정과목'!$A$6:$A$56,0)),"미등록"))</x:f>
        <x:v>임차료</x:v>
      </x:c>
      <x:c r="M11" s="9" t="str">
        <x:f>IF($E11="","",IFERROR(INDEX('계정과목'!$C$6:$C$56,MATCH($E11,'계정과목'!$A$6:$A$56,0)),""))</x:f>
        <x:v>비용</x:v>
      </x:c>
      <x:c r="N11" s="9" t="str">
        <x:f>IF($E11="","",IFERROR(INDEX('계정과목'!$D$6:$D$56,MATCH($E11,'계정과목'!$A$6:$A$56,0)),""))</x:f>
        <x:v>과세</x:v>
      </x:c>
      <x:c r="O11" s="9" t="str">
        <x:f>IF($E11="","",IF(COUNTIF('계정과목'!$A$6:$A$56,$E11)=0,"미등록","정상"))</x:f>
        <x:v>정상</x:v>
      </x:c>
      <x:c r="P11" s="14" t="n">
        <x:f>IF($A11="","",ROUND(SUMIFS('전표'!$F$7:$F$306,'전표'!$A$7:$A$306,$A11)-SUMIFS('전표'!$G$7:$G$306,'전표'!$A$7:$A$306,$A11),0))</x:f>
        <x:v>0</x:v>
      </x:c>
      <x:c r="Q11" s="14" t="n">
        <x:f>IF(ISNUMBER($P11),IF(ABS($P11)&gt;=1,1,0),0)</x:f>
        <x:v>0</x:v>
      </x:c>
    </x:row>
    <x:row r="12">
      <x:c r="A12" s="7" t="str">
        <x:v>V-2026-09-003</x:v>
      </x:c>
      <x:c r="B12" s="11" t="n">
        <x:v>46270</x:v>
      </x:c>
      <x:c r="C12" s="7" t="str">
        <x:v>세금계산서</x:v>
      </x:c>
      <x:c r="D12" s="7" t="str">
        <x:v>9월 임차료 부가세</x:v>
      </x:c>
      <x:c r="E12" s="7" t="str">
        <x:v>135</x:v>
      </x:c>
      <x:c r="F12" s="13" t="n">
        <x:v>100000</x:v>
      </x:c>
      <x:c r="G12" s="13"/>
      <x:c r="H12" s="13"/>
      <x:c r="I12" s="7" t="str">
        <x:v>예시 임대인</x:v>
      </x:c>
      <x:c r="J12" s="7" t="str"/>
      <x:c r="K12" s="9" t="str">
        <x:f>IF($B12="","",TEXT($B12,"yyyy-mm"))</x:f>
        <x:v>2026-09</x:v>
      </x:c>
      <x:c r="L12" s="9" t="str">
        <x:f>IF($E12="","",IFERROR(INDEX('계정과목'!$B$6:$B$56,MATCH($E12,'계정과목'!$A$6:$A$56,0)),"미등록"))</x:f>
        <x:v>부가세대급금</x:v>
      </x:c>
      <x:c r="M12" s="9" t="str">
        <x:f>IF($E12="","",IFERROR(INDEX('계정과목'!$C$6:$C$56,MATCH($E12,'계정과목'!$A$6:$A$56,0)),""))</x:f>
        <x:v>자산</x:v>
      </x:c>
      <x:c r="N12" s="9" t="str">
        <x:f>IF($E12="","",IFERROR(INDEX('계정과목'!$D$6:$D$56,MATCH($E12,'계정과목'!$A$6:$A$56,0)),""))</x:f>
        <x:v>해당없음</x:v>
      </x:c>
      <x:c r="O12" s="9" t="str">
        <x:f>IF($E12="","",IF(COUNTIF('계정과목'!$A$6:$A$56,$E12)=0,"미등록","정상"))</x:f>
        <x:v>정상</x:v>
      </x:c>
      <x:c r="P12" s="14" t="n">
        <x:f>IF($A12="","",ROUND(SUMIFS('전표'!$F$7:$F$306,'전표'!$A$7:$A$306,$A12)-SUMIFS('전표'!$G$7:$G$306,'전표'!$A$7:$A$306,$A12),0))</x:f>
        <x:v>0</x:v>
      </x:c>
      <x:c r="Q12" s="14" t="n">
        <x:f>IF(ISNUMBER($P12),IF(ABS($P12)&gt;=1,1,0),0)</x:f>
        <x:v>0</x:v>
      </x:c>
    </x:row>
    <x:row r="13">
      <x:c r="A13" s="7" t="str">
        <x:v>V-2026-09-003</x:v>
      </x:c>
      <x:c r="B13" s="11" t="n">
        <x:v>46270</x:v>
      </x:c>
      <x:c r="C13" s="7" t="str">
        <x:v>세금계산서</x:v>
      </x:c>
      <x:c r="D13" s="7" t="str">
        <x:v>9월 임차료 지급</x:v>
      </x:c>
      <x:c r="E13" s="7" t="str">
        <x:v>102</x:v>
      </x:c>
      <x:c r="F13" s="13"/>
      <x:c r="G13" s="13" t="n">
        <x:v>1100000</x:v>
      </x:c>
      <x:c r="H13" s="13"/>
      <x:c r="I13" s="7" t="str">
        <x:v>예시 임대인</x:v>
      </x:c>
      <x:c r="J13" s="7" t="str"/>
      <x:c r="K13" s="9" t="str">
        <x:f>IF($B13="","",TEXT($B13,"yyyy-mm"))</x:f>
        <x:v>2026-09</x:v>
      </x:c>
      <x:c r="L13" s="9" t="str">
        <x:f>IF($E13="","",IFERROR(INDEX('계정과목'!$B$6:$B$56,MATCH($E13,'계정과목'!$A$6:$A$56,0)),"미등록"))</x:f>
        <x:v>보통예금</x:v>
      </x:c>
      <x:c r="M13" s="9" t="str">
        <x:f>IF($E13="","",IFERROR(INDEX('계정과목'!$C$6:$C$56,MATCH($E13,'계정과목'!$A$6:$A$56,0)),""))</x:f>
        <x:v>자산</x:v>
      </x:c>
      <x:c r="N13" s="9" t="str">
        <x:f>IF($E13="","",IFERROR(INDEX('계정과목'!$D$6:$D$56,MATCH($E13,'계정과목'!$A$6:$A$56,0)),""))</x:f>
        <x:v>해당없음</x:v>
      </x:c>
      <x:c r="O13" s="9" t="str">
        <x:f>IF($E13="","",IF(COUNTIF('계정과목'!$A$6:$A$56,$E13)=0,"미등록","정상"))</x:f>
        <x:v>정상</x:v>
      </x:c>
      <x:c r="P13" s="14" t="n">
        <x:f>IF($A13="","",ROUND(SUMIFS('전표'!$F$7:$F$306,'전표'!$A$7:$A$306,$A13)-SUMIFS('전표'!$G$7:$G$306,'전표'!$A$7:$A$306,$A13),0))</x:f>
        <x:v>0</x:v>
      </x:c>
      <x:c r="Q13" s="14" t="n">
        <x:f>IF(ISNUMBER($P13),IF(ABS($P13)&gt;=1,1,0),0)</x:f>
        <x:v>0</x:v>
      </x:c>
    </x:row>
    <x:row r="14">
      <x:c r="A14" s="7" t="str">
        <x:v>V-2026-09-004</x:v>
      </x:c>
      <x:c r="B14" s="11" t="n">
        <x:v>46275</x:v>
      </x:c>
      <x:c r="C14" s="7" t="str">
        <x:v>카드전표</x:v>
      </x:c>
      <x:c r="D14" s="7" t="str">
        <x:v>현장 체험료 카드매출</x:v>
      </x:c>
      <x:c r="E14" s="7" t="str">
        <x:v>103</x:v>
      </x:c>
      <x:c r="F14" s="13" t="n">
        <x:v>1100000</x:v>
      </x:c>
      <x:c r="G14" s="13"/>
      <x:c r="H14" s="13"/>
      <x:c r="I14" s="7" t="str">
        <x:v>예시 카드사</x:v>
      </x:c>
      <x:c r="J14" s="7" t="str"/>
      <x:c r="K14" s="9" t="str">
        <x:f>IF($B14="","",TEXT($B14,"yyyy-mm"))</x:f>
        <x:v>2026-09</x:v>
      </x:c>
      <x:c r="L14" s="9" t="str">
        <x:f>IF($E14="","",IFERROR(INDEX('계정과목'!$B$6:$B$56,MATCH($E14,'계정과목'!$A$6:$A$56,0)),"미등록"))</x:f>
        <x:v>카드매출미정산금</x:v>
      </x:c>
      <x:c r="M14" s="9" t="str">
        <x:f>IF($E14="","",IFERROR(INDEX('계정과목'!$C$6:$C$56,MATCH($E14,'계정과목'!$A$6:$A$56,0)),""))</x:f>
        <x:v>자산</x:v>
      </x:c>
      <x:c r="N14" s="9" t="str">
        <x:f>IF($E14="","",IFERROR(INDEX('계정과목'!$D$6:$D$56,MATCH($E14,'계정과목'!$A$6:$A$56,0)),""))</x:f>
        <x:v>해당없음</x:v>
      </x:c>
      <x:c r="O14" s="9" t="str">
        <x:f>IF($E14="","",IF(COUNTIF('계정과목'!$A$6:$A$56,$E14)=0,"미등록","정상"))</x:f>
        <x:v>정상</x:v>
      </x:c>
      <x:c r="P14" s="14" t="n">
        <x:f>IF($A14="","",ROUND(SUMIFS('전표'!$F$7:$F$306,'전표'!$A$7:$A$306,$A14)-SUMIFS('전표'!$G$7:$G$306,'전표'!$A$7:$A$306,$A14),0))</x:f>
        <x:v>0</x:v>
      </x:c>
      <x:c r="Q14" s="14" t="n">
        <x:f>IF(ISNUMBER($P14),IF(ABS($P14)&gt;=1,1,0),0)</x:f>
        <x:v>0</x:v>
      </x:c>
    </x:row>
    <x:row r="15">
      <x:c r="A15" s="7" t="str">
        <x:v>V-2026-09-004</x:v>
      </x:c>
      <x:c r="B15" s="11" t="n">
        <x:v>46275</x:v>
      </x:c>
      <x:c r="C15" s="7" t="str">
        <x:v>카드전표</x:v>
      </x:c>
      <x:c r="D15" s="7" t="str">
        <x:v>현장 체험료 카드매출</x:v>
      </x:c>
      <x:c r="E15" s="7" t="str">
        <x:v>401</x:v>
      </x:c>
      <x:c r="F15" s="13"/>
      <x:c r="G15" s="13" t="n">
        <x:v>1000000</x:v>
      </x:c>
      <x:c r="H15" s="13" t="n">
        <x:v>100000</x:v>
      </x:c>
      <x:c r="I15" s="7" t="str">
        <x:v>예시 카드사</x:v>
      </x:c>
      <x:c r="J15" s="7" t="str"/>
      <x:c r="K15" s="9" t="str">
        <x:f>IF($B15="","",TEXT($B15,"yyyy-mm"))</x:f>
        <x:v>2026-09</x:v>
      </x:c>
      <x:c r="L15" s="9" t="str">
        <x:f>IF($E15="","",IFERROR(INDEX('계정과목'!$B$6:$B$56,MATCH($E15,'계정과목'!$A$6:$A$56,0)),"미등록"))</x:f>
        <x:v>체험·입장료수입</x:v>
      </x:c>
      <x:c r="M15" s="9" t="str">
        <x:f>IF($E15="","",IFERROR(INDEX('계정과목'!$C$6:$C$56,MATCH($E15,'계정과목'!$A$6:$A$56,0)),""))</x:f>
        <x:v>수익</x:v>
      </x:c>
      <x:c r="N15" s="9" t="str">
        <x:f>IF($E15="","",IFERROR(INDEX('계정과목'!$D$6:$D$56,MATCH($E15,'계정과목'!$A$6:$A$56,0)),""))</x:f>
        <x:v>과세</x:v>
      </x:c>
      <x:c r="O15" s="9" t="str">
        <x:f>IF($E15="","",IF(COUNTIF('계정과목'!$A$6:$A$56,$E15)=0,"미등록","정상"))</x:f>
        <x:v>정상</x:v>
      </x:c>
      <x:c r="P15" s="14" t="n">
        <x:f>IF($A15="","",ROUND(SUMIFS('전표'!$F$7:$F$306,'전표'!$A$7:$A$306,$A15)-SUMIFS('전표'!$G$7:$G$306,'전표'!$A$7:$A$306,$A15),0))</x:f>
        <x:v>0</x:v>
      </x:c>
      <x:c r="Q15" s="14" t="n">
        <x:f>IF(ISNUMBER($P15),IF(ABS($P15)&gt;=1,1,0),0)</x:f>
        <x:v>0</x:v>
      </x:c>
    </x:row>
    <x:row r="16">
      <x:c r="A16" s="7" t="str">
        <x:v>V-2026-09-004</x:v>
      </x:c>
      <x:c r="B16" s="11" t="n">
        <x:v>46275</x:v>
      </x:c>
      <x:c r="C16" s="7" t="str">
        <x:v>카드전표</x:v>
      </x:c>
      <x:c r="D16" s="7" t="str">
        <x:v>카드매출 부가세</x:v>
      </x:c>
      <x:c r="E16" s="7" t="str">
        <x:v>220</x:v>
      </x:c>
      <x:c r="F16" s="13"/>
      <x:c r="G16" s="13" t="n">
        <x:v>100000</x:v>
      </x:c>
      <x:c r="H16" s="13"/>
      <x:c r="I16" s="7" t="str">
        <x:v>예시 카드사</x:v>
      </x:c>
      <x:c r="J16" s="7" t="str"/>
      <x:c r="K16" s="9" t="str">
        <x:f>IF($B16="","",TEXT($B16,"yyyy-mm"))</x:f>
        <x:v>2026-09</x:v>
      </x:c>
      <x:c r="L16" s="9" t="str">
        <x:f>IF($E16="","",IFERROR(INDEX('계정과목'!$B$6:$B$56,MATCH($E16,'계정과목'!$A$6:$A$56,0)),"미등록"))</x:f>
        <x:v>부가세예수금</x:v>
      </x:c>
      <x:c r="M16" s="9" t="str">
        <x:f>IF($E16="","",IFERROR(INDEX('계정과목'!$C$6:$C$56,MATCH($E16,'계정과목'!$A$6:$A$56,0)),""))</x:f>
        <x:v>부채</x:v>
      </x:c>
      <x:c r="N16" s="9" t="str">
        <x:f>IF($E16="","",IFERROR(INDEX('계정과목'!$D$6:$D$56,MATCH($E16,'계정과목'!$A$6:$A$56,0)),""))</x:f>
        <x:v>해당없음</x:v>
      </x:c>
      <x:c r="O16" s="9" t="str">
        <x:f>IF($E16="","",IF(COUNTIF('계정과목'!$A$6:$A$56,$E16)=0,"미등록","정상"))</x:f>
        <x:v>정상</x:v>
      </x:c>
      <x:c r="P16" s="14" t="n">
        <x:f>IF($A16="","",ROUND(SUMIFS('전표'!$F$7:$F$306,'전표'!$A$7:$A$306,$A16)-SUMIFS('전표'!$G$7:$G$306,'전표'!$A$7:$A$306,$A16),0))</x:f>
        <x:v>0</x:v>
      </x:c>
      <x:c r="Q16" s="14" t="n">
        <x:f>IF(ISNUMBER($P16),IF(ABS($P16)&gt;=1,1,0),0)</x:f>
        <x:v>0</x:v>
      </x:c>
    </x:row>
    <x:row r="17">
      <x:c r="A17" s="7" t="str">
        <x:v>V-2026-09-005</x:v>
      </x:c>
      <x:c r="B17" s="11" t="n">
        <x:v>46277</x:v>
      </x:c>
      <x:c r="C17" s="7" t="str">
        <x:v>현금영수증</x:v>
      </x:c>
      <x:c r="D17" s="7" t="str">
        <x:v>매점 현금매출</x:v>
      </x:c>
      <x:c r="E17" s="7" t="str">
        <x:v>101</x:v>
      </x:c>
      <x:c r="F17" s="13" t="n">
        <x:v>330000</x:v>
      </x:c>
      <x:c r="G17" s="13"/>
      <x:c r="H17" s="13"/>
      <x:c r="I17" s="7" t="str"/>
      <x:c r="J17" s="7" t="str"/>
      <x:c r="K17" s="9" t="str">
        <x:f>IF($B17="","",TEXT($B17,"yyyy-mm"))</x:f>
        <x:v>2026-09</x:v>
      </x:c>
      <x:c r="L17" s="9" t="str">
        <x:f>IF($E17="","",IFERROR(INDEX('계정과목'!$B$6:$B$56,MATCH($E17,'계정과목'!$A$6:$A$56,0)),"미등록"))</x:f>
        <x:v>현금</x:v>
      </x:c>
      <x:c r="M17" s="9" t="str">
        <x:f>IF($E17="","",IFERROR(INDEX('계정과목'!$C$6:$C$56,MATCH($E17,'계정과목'!$A$6:$A$56,0)),""))</x:f>
        <x:v>자산</x:v>
      </x:c>
      <x:c r="N17" s="9" t="str">
        <x:f>IF($E17="","",IFERROR(INDEX('계정과목'!$D$6:$D$56,MATCH($E17,'계정과목'!$A$6:$A$56,0)),""))</x:f>
        <x:v>해당없음</x:v>
      </x:c>
      <x:c r="O17" s="9" t="str">
        <x:f>IF($E17="","",IF(COUNTIF('계정과목'!$A$6:$A$56,$E17)=0,"미등록","정상"))</x:f>
        <x:v>정상</x:v>
      </x:c>
      <x:c r="P17" s="14" t="n">
        <x:f>IF($A17="","",ROUND(SUMIFS('전표'!$F$7:$F$306,'전표'!$A$7:$A$306,$A17)-SUMIFS('전표'!$G$7:$G$306,'전표'!$A$7:$A$306,$A17),0))</x:f>
        <x:v>0</x:v>
      </x:c>
      <x:c r="Q17" s="14" t="n">
        <x:f>IF(ISNUMBER($P17),IF(ABS($P17)&gt;=1,1,0),0)</x:f>
        <x:v>0</x:v>
      </x:c>
    </x:row>
    <x:row r="18">
      <x:c r="A18" s="7" t="str">
        <x:v>V-2026-09-005</x:v>
      </x:c>
      <x:c r="B18" s="11" t="n">
        <x:v>46277</x:v>
      </x:c>
      <x:c r="C18" s="7" t="str">
        <x:v>현금영수증</x:v>
      </x:c>
      <x:c r="D18" s="7" t="str">
        <x:v>매점 현금매출</x:v>
      </x:c>
      <x:c r="E18" s="7" t="str">
        <x:v>403</x:v>
      </x:c>
      <x:c r="F18" s="13"/>
      <x:c r="G18" s="13" t="n">
        <x:v>300000</x:v>
      </x:c>
      <x:c r="H18" s="13" t="n">
        <x:v>30000</x:v>
      </x:c>
      <x:c r="I18" s="7" t="str"/>
      <x:c r="J18" s="7" t="str"/>
      <x:c r="K18" s="9" t="str">
        <x:f>IF($B18="","",TEXT($B18,"yyyy-mm"))</x:f>
        <x:v>2026-09</x:v>
      </x:c>
      <x:c r="L18" s="9" t="str">
        <x:f>IF($E18="","",IFERROR(INDEX('계정과목'!$B$6:$B$56,MATCH($E18,'계정과목'!$A$6:$A$56,0)),"미등록"))</x:f>
        <x:v>매점매출</x:v>
      </x:c>
      <x:c r="M18" s="9" t="str">
        <x:f>IF($E18="","",IFERROR(INDEX('계정과목'!$C$6:$C$56,MATCH($E18,'계정과목'!$A$6:$A$56,0)),""))</x:f>
        <x:v>수익</x:v>
      </x:c>
      <x:c r="N18" s="9" t="str">
        <x:f>IF($E18="","",IFERROR(INDEX('계정과목'!$D$6:$D$56,MATCH($E18,'계정과목'!$A$6:$A$56,0)),""))</x:f>
        <x:v>과세</x:v>
      </x:c>
      <x:c r="O18" s="9" t="str">
        <x:f>IF($E18="","",IF(COUNTIF('계정과목'!$A$6:$A$56,$E18)=0,"미등록","정상"))</x:f>
        <x:v>정상</x:v>
      </x:c>
      <x:c r="P18" s="14" t="n">
        <x:f>IF($A18="","",ROUND(SUMIFS('전표'!$F$7:$F$306,'전표'!$A$7:$A$306,$A18)-SUMIFS('전표'!$G$7:$G$306,'전표'!$A$7:$A$306,$A18),0))</x:f>
        <x:v>0</x:v>
      </x:c>
      <x:c r="Q18" s="14" t="n">
        <x:f>IF(ISNUMBER($P18),IF(ABS($P18)&gt;=1,1,0),0)</x:f>
        <x:v>0</x:v>
      </x:c>
    </x:row>
    <x:row r="19">
      <x:c r="A19" s="7" t="str">
        <x:v>V-2026-09-005</x:v>
      </x:c>
      <x:c r="B19" s="11" t="n">
        <x:v>46277</x:v>
      </x:c>
      <x:c r="C19" s="7" t="str">
        <x:v>현금영수증</x:v>
      </x:c>
      <x:c r="D19" s="7" t="str">
        <x:v>매점매출 부가세</x:v>
      </x:c>
      <x:c r="E19" s="7" t="str">
        <x:v>220</x:v>
      </x:c>
      <x:c r="F19" s="13"/>
      <x:c r="G19" s="13" t="n">
        <x:v>30000</x:v>
      </x:c>
      <x:c r="H19" s="13"/>
      <x:c r="I19" s="7" t="str"/>
      <x:c r="J19" s="7" t="str"/>
      <x:c r="K19" s="9" t="str">
        <x:f>IF($B19="","",TEXT($B19,"yyyy-mm"))</x:f>
        <x:v>2026-09</x:v>
      </x:c>
      <x:c r="L19" s="9" t="str">
        <x:f>IF($E19="","",IFERROR(INDEX('계정과목'!$B$6:$B$56,MATCH($E19,'계정과목'!$A$6:$A$56,0)),"미등록"))</x:f>
        <x:v>부가세예수금</x:v>
      </x:c>
      <x:c r="M19" s="9" t="str">
        <x:f>IF($E19="","",IFERROR(INDEX('계정과목'!$C$6:$C$56,MATCH($E19,'계정과목'!$A$6:$A$56,0)),""))</x:f>
        <x:v>부채</x:v>
      </x:c>
      <x:c r="N19" s="9" t="str">
        <x:f>IF($E19="","",IFERROR(INDEX('계정과목'!$D$6:$D$56,MATCH($E19,'계정과목'!$A$6:$A$56,0)),""))</x:f>
        <x:v>해당없음</x:v>
      </x:c>
      <x:c r="O19" s="9" t="str">
        <x:f>IF($E19="","",IF(COUNTIF('계정과목'!$A$6:$A$56,$E19)=0,"미등록","정상"))</x:f>
        <x:v>정상</x:v>
      </x:c>
      <x:c r="P19" s="14" t="n">
        <x:f>IF($A19="","",ROUND(SUMIFS('전표'!$F$7:$F$306,'전표'!$A$7:$A$306,$A19)-SUMIFS('전표'!$G$7:$G$306,'전표'!$A$7:$A$306,$A19),0))</x:f>
        <x:v>0</x:v>
      </x:c>
      <x:c r="Q19" s="14" t="n">
        <x:f>IF(ISNUMBER($P19),IF(ABS($P19)&gt;=1,1,0),0)</x:f>
        <x:v>0</x:v>
      </x:c>
    </x:row>
    <x:row r="20">
      <x:c r="A20" s="7" t="str">
        <x:v>V-2026-09-006</x:v>
      </x:c>
      <x:c r="B20" s="11" t="n">
        <x:v>46280</x:v>
      </x:c>
      <x:c r="C20" s="7" t="str">
        <x:v>무증빙</x:v>
      </x:c>
      <x:c r="D20" s="7" t="str">
        <x:v>현장 잡비(무증빙)</x:v>
      </x:c>
      <x:c r="E20" s="7" t="str">
        <x:v>530</x:v>
      </x:c>
      <x:c r="F20" s="13" t="n">
        <x:v>50000</x:v>
      </x:c>
      <x:c r="G20" s="13"/>
      <x:c r="H20" s="13"/>
      <x:c r="I20" s="7" t="str">
        <x:v>예시 철물점</x:v>
      </x:c>
      <x:c r="J20" s="7" t="str"/>
      <x:c r="K20" s="9" t="str">
        <x:f>IF($B20="","",TEXT($B20,"yyyy-mm"))</x:f>
        <x:v>2026-09</x:v>
      </x:c>
      <x:c r="L20" s="9" t="str">
        <x:f>IF($E20="","",IFERROR(INDEX('계정과목'!$B$6:$B$56,MATCH($E20,'계정과목'!$A$6:$A$56,0)),"미등록"))</x:f>
        <x:v>잡비</x:v>
      </x:c>
      <x:c r="M20" s="9" t="str">
        <x:f>IF($E20="","",IFERROR(INDEX('계정과목'!$C$6:$C$56,MATCH($E20,'계정과목'!$A$6:$A$56,0)),""))</x:f>
        <x:v>비용</x:v>
      </x:c>
      <x:c r="N20" s="9" t="str">
        <x:f>IF($E20="","",IFERROR(INDEX('계정과목'!$D$6:$D$56,MATCH($E20,'계정과목'!$A$6:$A$56,0)),""))</x:f>
        <x:v>불공제</x:v>
      </x:c>
      <x:c r="O20" s="9" t="str">
        <x:f>IF($E20="","",IF(COUNTIF('계정과목'!$A$6:$A$56,$E20)=0,"미등록","정상"))</x:f>
        <x:v>정상</x:v>
      </x:c>
      <x:c r="P20" s="14" t="n">
        <x:f>IF($A20="","",ROUND(SUMIFS('전표'!$F$7:$F$306,'전표'!$A$7:$A$306,$A20)-SUMIFS('전표'!$G$7:$G$306,'전표'!$A$7:$A$306,$A20),0))</x:f>
        <x:v>0</x:v>
      </x:c>
      <x:c r="Q20" s="14" t="n">
        <x:f>IF(ISNUMBER($P20),IF(ABS($P20)&gt;=1,1,0),0)</x:f>
        <x:v>0</x:v>
      </x:c>
    </x:row>
    <x:row r="21">
      <x:c r="A21" s="7" t="str">
        <x:v>V-2026-09-006</x:v>
      </x:c>
      <x:c r="B21" s="11" t="n">
        <x:v>46280</x:v>
      </x:c>
      <x:c r="C21" s="7" t="str">
        <x:v>무증빙</x:v>
      </x:c>
      <x:c r="D21" s="7" t="str">
        <x:v>현장 잡비(무증빙)</x:v>
      </x:c>
      <x:c r="E21" s="7" t="str">
        <x:v>101</x:v>
      </x:c>
      <x:c r="F21" s="13"/>
      <x:c r="G21" s="13" t="n">
        <x:v>50000</x:v>
      </x:c>
      <x:c r="H21" s="13"/>
      <x:c r="I21" s="7" t="str">
        <x:v>예시 철물점</x:v>
      </x:c>
      <x:c r="J21" s="7" t="str"/>
      <x:c r="K21" s="9" t="str">
        <x:f>IF($B21="","",TEXT($B21,"yyyy-mm"))</x:f>
        <x:v>2026-09</x:v>
      </x:c>
      <x:c r="L21" s="9" t="str">
        <x:f>IF($E21="","",IFERROR(INDEX('계정과목'!$B$6:$B$56,MATCH($E21,'계정과목'!$A$6:$A$56,0)),"미등록"))</x:f>
        <x:v>현금</x:v>
      </x:c>
      <x:c r="M21" s="9" t="str">
        <x:f>IF($E21="","",IFERROR(INDEX('계정과목'!$C$6:$C$56,MATCH($E21,'계정과목'!$A$6:$A$56,0)),""))</x:f>
        <x:v>자산</x:v>
      </x:c>
      <x:c r="N21" s="9" t="str">
        <x:f>IF($E21="","",IFERROR(INDEX('계정과목'!$D$6:$D$56,MATCH($E21,'계정과목'!$A$6:$A$56,0)),""))</x:f>
        <x:v>해당없음</x:v>
      </x:c>
      <x:c r="O21" s="9" t="str">
        <x:f>IF($E21="","",IF(COUNTIF('계정과목'!$A$6:$A$56,$E21)=0,"미등록","정상"))</x:f>
        <x:v>정상</x:v>
      </x:c>
      <x:c r="P21" s="14" t="n">
        <x:f>IF($A21="","",ROUND(SUMIFS('전표'!$F$7:$F$306,'전표'!$A$7:$A$306,$A21)-SUMIFS('전표'!$G$7:$G$306,'전표'!$A$7:$A$306,$A21),0))</x:f>
        <x:v>0</x:v>
      </x:c>
      <x:c r="Q21" s="14" t="n">
        <x:f>IF(ISNUMBER($P21),IF(ABS($P21)&gt;=1,1,0),0)</x:f>
        <x:v>0</x:v>
      </x:c>
    </x:row>
    <x:row r="22">
      <x:c r="A22" s="7" t="str">
        <x:v>V-2026-09-007</x:v>
      </x:c>
      <x:c r="B22" s="11" t="n">
        <x:v>46290</x:v>
      </x:c>
      <x:c r="C22" s="7" t="str">
        <x:v>기타</x:v>
      </x:c>
      <x:c r="D22" s="7" t="str">
        <x:v>9월 급여 지급</x:v>
      </x:c>
      <x:c r="E22" s="7" t="str">
        <x:v>501</x:v>
      </x:c>
      <x:c r="F22" s="13" t="n">
        <x:v>2000000</x:v>
      </x:c>
      <x:c r="G22" s="13"/>
      <x:c r="H22" s="13"/>
      <x:c r="I22" s="7" t="str">
        <x:v>예시 직원</x:v>
      </x:c>
      <x:c r="J22" s="7" t="str"/>
      <x:c r="K22" s="9" t="str">
        <x:f>IF($B22="","",TEXT($B22,"yyyy-mm"))</x:f>
        <x:v>2026-09</x:v>
      </x:c>
      <x:c r="L22" s="9" t="str">
        <x:f>IF($E22="","",IFERROR(INDEX('계정과목'!$B$6:$B$56,MATCH($E22,'계정과목'!$A$6:$A$56,0)),"미등록"))</x:f>
        <x:v>급여</x:v>
      </x:c>
      <x:c r="M22" s="9" t="str">
        <x:f>IF($E22="","",IFERROR(INDEX('계정과목'!$C$6:$C$56,MATCH($E22,'계정과목'!$A$6:$A$56,0)),""))</x:f>
        <x:v>비용</x:v>
      </x:c>
      <x:c r="N22" s="9" t="str">
        <x:f>IF($E22="","",IFERROR(INDEX('계정과목'!$D$6:$D$56,MATCH($E22,'계정과목'!$A$6:$A$56,0)),""))</x:f>
        <x:v>해당없음</x:v>
      </x:c>
      <x:c r="O22" s="9" t="str">
        <x:f>IF($E22="","",IF(COUNTIF('계정과목'!$A$6:$A$56,$E22)=0,"미등록","정상"))</x:f>
        <x:v>정상</x:v>
      </x:c>
      <x:c r="P22" s="14" t="n">
        <x:f>IF($A22="","",ROUND(SUMIFS('전표'!$F$7:$F$306,'전표'!$A$7:$A$306,$A22)-SUMIFS('전표'!$G$7:$G$306,'전표'!$A$7:$A$306,$A22),0))</x:f>
        <x:v>0</x:v>
      </x:c>
      <x:c r="Q22" s="14" t="n">
        <x:f>IF(ISNUMBER($P22),IF(ABS($P22)&gt;=1,1,0),0)</x:f>
        <x:v>0</x:v>
      </x:c>
    </x:row>
    <x:row r="23">
      <x:c r="A23" s="7" t="str">
        <x:v>V-2026-09-007</x:v>
      </x:c>
      <x:c r="B23" s="11" t="n">
        <x:v>46290</x:v>
      </x:c>
      <x:c r="C23" s="7" t="str">
        <x:v>기타</x:v>
      </x:c>
      <x:c r="D23" s="7" t="str">
        <x:v>급여 원천세 예수</x:v>
      </x:c>
      <x:c r="E23" s="7" t="str">
        <x:v>210</x:v>
      </x:c>
      <x:c r="F23" s="13"/>
      <x:c r="G23" s="13" t="n">
        <x:v>180000</x:v>
      </x:c>
      <x:c r="H23" s="13"/>
      <x:c r="I23" s="7" t="str">
        <x:v>예시 직원</x:v>
      </x:c>
      <x:c r="J23" s="7" t="str"/>
      <x:c r="K23" s="9" t="str">
        <x:f>IF($B23="","",TEXT($B23,"yyyy-mm"))</x:f>
        <x:v>2026-09</x:v>
      </x:c>
      <x:c r="L23" s="9" t="str">
        <x:f>IF($E23="","",IFERROR(INDEX('계정과목'!$B$6:$B$56,MATCH($E23,'계정과목'!$A$6:$A$56,0)),"미등록"))</x:f>
        <x:v>예수금(4대보험·원천세)</x:v>
      </x:c>
      <x:c r="M23" s="9" t="str">
        <x:f>IF($E23="","",IFERROR(INDEX('계정과목'!$C$6:$C$56,MATCH($E23,'계정과목'!$A$6:$A$56,0)),""))</x:f>
        <x:v>부채</x:v>
      </x:c>
      <x:c r="N23" s="9" t="str">
        <x:f>IF($E23="","",IFERROR(INDEX('계정과목'!$D$6:$D$56,MATCH($E23,'계정과목'!$A$6:$A$56,0)),""))</x:f>
        <x:v>해당없음</x:v>
      </x:c>
      <x:c r="O23" s="9" t="str">
        <x:f>IF($E23="","",IF(COUNTIF('계정과목'!$A$6:$A$56,$E23)=0,"미등록","정상"))</x:f>
        <x:v>정상</x:v>
      </x:c>
      <x:c r="P23" s="14" t="n">
        <x:f>IF($A23="","",ROUND(SUMIFS('전표'!$F$7:$F$306,'전표'!$A$7:$A$306,$A23)-SUMIFS('전표'!$G$7:$G$306,'전표'!$A$7:$A$306,$A23),0))</x:f>
        <x:v>0</x:v>
      </x:c>
      <x:c r="Q23" s="14" t="n">
        <x:f>IF(ISNUMBER($P23),IF(ABS($P23)&gt;=1,1,0),0)</x:f>
        <x:v>0</x:v>
      </x:c>
    </x:row>
    <x:row r="24">
      <x:c r="A24" s="7" t="str">
        <x:v>V-2026-09-007</x:v>
      </x:c>
      <x:c r="B24" s="11" t="n">
        <x:v>46290</x:v>
      </x:c>
      <x:c r="C24" s="7" t="str">
        <x:v>기타</x:v>
      </x:c>
      <x:c r="D24" s="7" t="str">
        <x:v>9월 급여 지급</x:v>
      </x:c>
      <x:c r="E24" s="7" t="str">
        <x:v>102</x:v>
      </x:c>
      <x:c r="F24" s="13"/>
      <x:c r="G24" s="13" t="n">
        <x:v>1820000</x:v>
      </x:c>
      <x:c r="H24" s="13"/>
      <x:c r="I24" s="7" t="str">
        <x:v>예시 직원</x:v>
      </x:c>
      <x:c r="J24" s="7" t="str"/>
      <x:c r="K24" s="9" t="str">
        <x:f>IF($B24="","",TEXT($B24,"yyyy-mm"))</x:f>
        <x:v>2026-09</x:v>
      </x:c>
      <x:c r="L24" s="9" t="str">
        <x:f>IF($E24="","",IFERROR(INDEX('계정과목'!$B$6:$B$56,MATCH($E24,'계정과목'!$A$6:$A$56,0)),"미등록"))</x:f>
        <x:v>보통예금</x:v>
      </x:c>
      <x:c r="M24" s="9" t="str">
        <x:f>IF($E24="","",IFERROR(INDEX('계정과목'!$C$6:$C$56,MATCH($E24,'계정과목'!$A$6:$A$56,0)),""))</x:f>
        <x:v>자산</x:v>
      </x:c>
      <x:c r="N24" s="9" t="str">
        <x:f>IF($E24="","",IFERROR(INDEX('계정과목'!$D$6:$D$56,MATCH($E24,'계정과목'!$A$6:$A$56,0)),""))</x:f>
        <x:v>해당없음</x:v>
      </x:c>
      <x:c r="O24" s="9" t="str">
        <x:f>IF($E24="","",IF(COUNTIF('계정과목'!$A$6:$A$56,$E24)=0,"미등록","정상"))</x:f>
        <x:v>정상</x:v>
      </x:c>
      <x:c r="P24" s="14" t="n">
        <x:f>IF($A24="","",ROUND(SUMIFS('전표'!$F$7:$F$306,'전표'!$A$7:$A$306,$A24)-SUMIFS('전표'!$G$7:$G$306,'전표'!$A$7:$A$306,$A24),0))</x:f>
        <x:v>0</x:v>
      </x:c>
      <x:c r="Q24" s="14" t="n">
        <x:f>IF(ISNUMBER($P24),IF(ABS($P24)&gt;=1,1,0),0)</x:f>
        <x:v>0</x:v>
      </x:c>
    </x:row>
    <x:row r="25">
      <x:c r="A25" s="7" t="str">
        <x:v>V-2026-09-008</x:v>
      </x:c>
      <x:c r="B25" s="11" t="n">
        <x:v>46290</x:v>
      </x:c>
      <x:c r="C25" s="7" t="str">
        <x:v>기타</x:v>
      </x:c>
      <x:c r="D25" s="7" t="str">
        <x:v>4대보험 사업주부담</x:v>
      </x:c>
      <x:c r="E25" s="7" t="str">
        <x:v>504</x:v>
      </x:c>
      <x:c r="F25" s="13" t="n">
        <x:v>140000</x:v>
      </x:c>
      <x:c r="G25" s="13"/>
      <x:c r="H25" s="13"/>
      <x:c r="I25" s="7" t="str"/>
      <x:c r="J25" s="7" t="str"/>
      <x:c r="K25" s="9" t="str">
        <x:f>IF($B25="","",TEXT($B25,"yyyy-mm"))</x:f>
        <x:v>2026-09</x:v>
      </x:c>
      <x:c r="L25" s="9" t="str">
        <x:f>IF($E25="","",IFERROR(INDEX('계정과목'!$B$6:$B$56,MATCH($E25,'계정과목'!$A$6:$A$56,0)),"미등록"))</x:f>
        <x:v>4대보험료(사업주부담)</x:v>
      </x:c>
      <x:c r="M25" s="9" t="str">
        <x:f>IF($E25="","",IFERROR(INDEX('계정과목'!$C$6:$C$56,MATCH($E25,'계정과목'!$A$6:$A$56,0)),""))</x:f>
        <x:v>비용</x:v>
      </x:c>
      <x:c r="N25" s="9" t="str">
        <x:f>IF($E25="","",IFERROR(INDEX('계정과목'!$D$6:$D$56,MATCH($E25,'계정과목'!$A$6:$A$56,0)),""))</x:f>
        <x:v>해당없음</x:v>
      </x:c>
      <x:c r="O25" s="9" t="str">
        <x:f>IF($E25="","",IF(COUNTIF('계정과목'!$A$6:$A$56,$E25)=0,"미등록","정상"))</x:f>
        <x:v>정상</x:v>
      </x:c>
      <x:c r="P25" s="14" t="n">
        <x:f>IF($A25="","",ROUND(SUMIFS('전표'!$F$7:$F$306,'전표'!$A$7:$A$306,$A25)-SUMIFS('전표'!$G$7:$G$306,'전표'!$A$7:$A$306,$A25),0))</x:f>
        <x:v>0</x:v>
      </x:c>
      <x:c r="Q25" s="14" t="n">
        <x:f>IF(ISNUMBER($P25),IF(ABS($P25)&gt;=1,1,0),0)</x:f>
        <x:v>0</x:v>
      </x:c>
    </x:row>
    <x:row r="26">
      <x:c r="A26" s="7" t="str">
        <x:v>V-2026-09-008</x:v>
      </x:c>
      <x:c r="B26" s="11" t="n">
        <x:v>46290</x:v>
      </x:c>
      <x:c r="C26" s="7" t="str">
        <x:v>기타</x:v>
      </x:c>
      <x:c r="D26" s="7" t="str">
        <x:v>4대보험 사업주부담 예수</x:v>
      </x:c>
      <x:c r="E26" s="7" t="str">
        <x:v>210</x:v>
      </x:c>
      <x:c r="F26" s="13"/>
      <x:c r="G26" s="13" t="n">
        <x:v>140000</x:v>
      </x:c>
      <x:c r="H26" s="13"/>
      <x:c r="I26" s="7" t="str"/>
      <x:c r="J26" s="7" t="str"/>
      <x:c r="K26" s="9" t="str">
        <x:f>IF($B26="","",TEXT($B26,"yyyy-mm"))</x:f>
        <x:v>2026-09</x:v>
      </x:c>
      <x:c r="L26" s="9" t="str">
        <x:f>IF($E26="","",IFERROR(INDEX('계정과목'!$B$6:$B$56,MATCH($E26,'계정과목'!$A$6:$A$56,0)),"미등록"))</x:f>
        <x:v>예수금(4대보험·원천세)</x:v>
      </x:c>
      <x:c r="M26" s="9" t="str">
        <x:f>IF($E26="","",IFERROR(INDEX('계정과목'!$C$6:$C$56,MATCH($E26,'계정과목'!$A$6:$A$56,0)),""))</x:f>
        <x:v>부채</x:v>
      </x:c>
      <x:c r="N26" s="9" t="str">
        <x:f>IF($E26="","",IFERROR(INDEX('계정과목'!$D$6:$D$56,MATCH($E26,'계정과목'!$A$6:$A$56,0)),""))</x:f>
        <x:v>해당없음</x:v>
      </x:c>
      <x:c r="O26" s="9" t="str">
        <x:f>IF($E26="","",IF(COUNTIF('계정과목'!$A$6:$A$56,$E26)=0,"미등록","정상"))</x:f>
        <x:v>정상</x:v>
      </x:c>
      <x:c r="P26" s="14" t="n">
        <x:f>IF($A26="","",ROUND(SUMIFS('전표'!$F$7:$F$306,'전표'!$A$7:$A$306,$A26)-SUMIFS('전표'!$G$7:$G$306,'전표'!$A$7:$A$306,$A26),0))</x:f>
        <x:v>0</x:v>
      </x:c>
      <x:c r="Q26" s="14" t="n">
        <x:f>IF(ISNUMBER($P26),IF(ABS($P26)&gt;=1,1,0),0)</x:f>
        <x:v>0</x:v>
      </x:c>
    </x:row>
    <x:row r="27">
      <x:c r="A27" s="7" t="str">
        <x:v>V-2026-09-009</x:v>
      </x:c>
      <x:c r="B27" s="11" t="n">
        <x:v>46295</x:v>
      </x:c>
      <x:c r="C27" s="7" t="str">
        <x:v>카드전표</x:v>
      </x:c>
      <x:c r="D27" s="7" t="str">
        <x:v>카드 결제수수료</x:v>
      </x:c>
      <x:c r="E27" s="7" t="str">
        <x:v>515</x:v>
      </x:c>
      <x:c r="F27" s="13" t="n">
        <x:v>22000</x:v>
      </x:c>
      <x:c r="G27" s="13"/>
      <x:c r="H27" s="13"/>
      <x:c r="I27" s="7" t="str">
        <x:v>예시 카드사</x:v>
      </x:c>
      <x:c r="J27" s="7" t="str"/>
      <x:c r="K27" s="9" t="str">
        <x:f>IF($B27="","",TEXT($B27,"yyyy-mm"))</x:f>
        <x:v>2026-09</x:v>
      </x:c>
      <x:c r="L27" s="9" t="str">
        <x:f>IF($E27="","",IFERROR(INDEX('계정과목'!$B$6:$B$56,MATCH($E27,'계정과목'!$A$6:$A$56,0)),"미등록"))</x:f>
        <x:v>지급수수료(결제·카드)</x:v>
      </x:c>
      <x:c r="M27" s="9" t="str">
        <x:f>IF($E27="","",IFERROR(INDEX('계정과목'!$C$6:$C$56,MATCH($E27,'계정과목'!$A$6:$A$56,0)),""))</x:f>
        <x:v>비용</x:v>
      </x:c>
      <x:c r="N27" s="9" t="str">
        <x:f>IF($E27="","",IFERROR(INDEX('계정과목'!$D$6:$D$56,MATCH($E27,'계정과목'!$A$6:$A$56,0)),""))</x:f>
        <x:v>불공제</x:v>
      </x:c>
      <x:c r="O27" s="9" t="str">
        <x:f>IF($E27="","",IF(COUNTIF('계정과목'!$A$6:$A$56,$E27)=0,"미등록","정상"))</x:f>
        <x:v>정상</x:v>
      </x:c>
      <x:c r="P27" s="14" t="n">
        <x:f>IF($A27="","",ROUND(SUMIFS('전표'!$F$7:$F$306,'전표'!$A$7:$A$306,$A27)-SUMIFS('전표'!$G$7:$G$306,'전표'!$A$7:$A$306,$A27),0))</x:f>
        <x:v>0</x:v>
      </x:c>
      <x:c r="Q27" s="14" t="n">
        <x:f>IF(ISNUMBER($P27),IF(ABS($P27)&gt;=1,1,0),0)</x:f>
        <x:v>0</x:v>
      </x:c>
    </x:row>
    <x:row r="28">
      <x:c r="A28" s="7" t="str">
        <x:v>V-2026-09-009</x:v>
      </x:c>
      <x:c r="B28" s="11" t="n">
        <x:v>46295</x:v>
      </x:c>
      <x:c r="C28" s="7" t="str">
        <x:v>카드전표</x:v>
      </x:c>
      <x:c r="D28" s="7" t="str">
        <x:v>카드 결제수수료 수납</x:v>
      </x:c>
      <x:c r="E28" s="7" t="str">
        <x:v>103</x:v>
      </x:c>
      <x:c r="F28" s="13"/>
      <x:c r="G28" s="13" t="n">
        <x:v>22000</x:v>
      </x:c>
      <x:c r="H28" s="13"/>
      <x:c r="I28" s="7" t="str">
        <x:v>예시 카드사</x:v>
      </x:c>
      <x:c r="J28" s="7" t="str"/>
      <x:c r="K28" s="9" t="str">
        <x:f>IF($B28="","",TEXT($B28,"yyyy-mm"))</x:f>
        <x:v>2026-09</x:v>
      </x:c>
      <x:c r="L28" s="9" t="str">
        <x:f>IF($E28="","",IFERROR(INDEX('계정과목'!$B$6:$B$56,MATCH($E28,'계정과목'!$A$6:$A$56,0)),"미등록"))</x:f>
        <x:v>카드매출미정산금</x:v>
      </x:c>
      <x:c r="M28" s="9" t="str">
        <x:f>IF($E28="","",IFERROR(INDEX('계정과목'!$C$6:$C$56,MATCH($E28,'계정과목'!$A$6:$A$56,0)),""))</x:f>
        <x:v>자산</x:v>
      </x:c>
      <x:c r="N28" s="9" t="str">
        <x:f>IF($E28="","",IFERROR(INDEX('계정과목'!$D$6:$D$56,MATCH($E28,'계정과목'!$A$6:$A$56,0)),""))</x:f>
        <x:v>해당없음</x:v>
      </x:c>
      <x:c r="O28" s="9" t="str">
        <x:f>IF($E28="","",IF(COUNTIF('계정과목'!$A$6:$A$56,$E28)=0,"미등록","정상"))</x:f>
        <x:v>정상</x:v>
      </x:c>
      <x:c r="P28" s="14" t="n">
        <x:f>IF($A28="","",ROUND(SUMIFS('전표'!$F$7:$F$306,'전표'!$A$7:$A$306,$A28)-SUMIFS('전표'!$G$7:$G$306,'전표'!$A$7:$A$306,$A28),0))</x:f>
        <x:v>0</x:v>
      </x:c>
      <x:c r="Q28" s="14" t="n">
        <x:f>IF(ISNUMBER($P28),IF(ABS($P28)&gt;=1,1,0),0)</x:f>
        <x:v>0</x:v>
      </x:c>
    </x:row>
    <x:row r="29">
      <x:c r="A29" s="7" t="str">
        <x:v>V-2026-09-010</x:v>
      </x:c>
      <x:c r="B29" s="11" t="n">
        <x:v>46295</x:v>
      </x:c>
      <x:c r="C29" s="7" t="str">
        <x:v>기타</x:v>
      </x:c>
      <x:c r="D29" s="7" t="str">
        <x:v>비품 감가상각</x:v>
      </x:c>
      <x:c r="E29" s="7" t="str">
        <x:v>524</x:v>
      </x:c>
      <x:c r="F29" s="13" t="n">
        <x:v>83000</x:v>
      </x:c>
      <x:c r="G29" s="13"/>
      <x:c r="H29" s="13"/>
      <x:c r="I29" s="7" t="str"/>
      <x:c r="J29" s="7" t="str"/>
      <x:c r="K29" s="9" t="str">
        <x:f>IF($B29="","",TEXT($B29,"yyyy-mm"))</x:f>
        <x:v>2026-09</x:v>
      </x:c>
      <x:c r="L29" s="9" t="str">
        <x:f>IF($E29="","",IFERROR(INDEX('계정과목'!$B$6:$B$56,MATCH($E29,'계정과목'!$A$6:$A$56,0)),"미등록"))</x:f>
        <x:v>감가상각비</x:v>
      </x:c>
      <x:c r="M29" s="9" t="str">
        <x:f>IF($E29="","",IFERROR(INDEX('계정과목'!$C$6:$C$56,MATCH($E29,'계정과목'!$A$6:$A$56,0)),""))</x:f>
        <x:v>비용</x:v>
      </x:c>
      <x:c r="N29" s="9" t="str">
        <x:f>IF($E29="","",IFERROR(INDEX('계정과목'!$D$6:$D$56,MATCH($E29,'계정과목'!$A$6:$A$56,0)),""))</x:f>
        <x:v>해당없음</x:v>
      </x:c>
      <x:c r="O29" s="9" t="str">
        <x:f>IF($E29="","",IF(COUNTIF('계정과목'!$A$6:$A$56,$E29)=0,"미등록","정상"))</x:f>
        <x:v>정상</x:v>
      </x:c>
      <x:c r="P29" s="14" t="n">
        <x:f>IF($A29="","",ROUND(SUMIFS('전표'!$F$7:$F$306,'전표'!$A$7:$A$306,$A29)-SUMIFS('전표'!$G$7:$G$306,'전표'!$A$7:$A$306,$A29),0))</x:f>
        <x:v>0</x:v>
      </x:c>
      <x:c r="Q29" s="14" t="n">
        <x:f>IF(ISNUMBER($P29),IF(ABS($P29)&gt;=1,1,0),0)</x:f>
        <x:v>0</x:v>
      </x:c>
    </x:row>
    <x:row r="30">
      <x:c r="A30" s="7" t="str">
        <x:v>V-2026-09-010</x:v>
      </x:c>
      <x:c r="B30" s="11" t="n">
        <x:v>46295</x:v>
      </x:c>
      <x:c r="C30" s="7" t="str">
        <x:v>기타</x:v>
      </x:c>
      <x:c r="D30" s="7" t="str">
        <x:v>비품 감가상각 누계</x:v>
      </x:c>
      <x:c r="E30" s="7" t="str">
        <x:v>170</x:v>
      </x:c>
      <x:c r="F30" s="13"/>
      <x:c r="G30" s="13" t="n">
        <x:v>83000</x:v>
      </x:c>
      <x:c r="H30" s="13"/>
      <x:c r="I30" s="7" t="str"/>
      <x:c r="J30" s="7" t="str"/>
      <x:c r="K30" s="9" t="str">
        <x:f>IF($B30="","",TEXT($B30,"yyyy-mm"))</x:f>
        <x:v>2026-09</x:v>
      </x:c>
      <x:c r="L30" s="9" t="str">
        <x:f>IF($E30="","",IFERROR(INDEX('계정과목'!$B$6:$B$56,MATCH($E30,'계정과목'!$A$6:$A$56,0)),"미등록"))</x:f>
        <x:v>감가상각누계액</x:v>
      </x:c>
      <x:c r="M30" s="9" t="str">
        <x:f>IF($E30="","",IFERROR(INDEX('계정과목'!$C$6:$C$56,MATCH($E30,'계정과목'!$A$6:$A$56,0)),""))</x:f>
        <x:v>자산</x:v>
      </x:c>
      <x:c r="N30" s="9" t="str">
        <x:f>IF($E30="","",IFERROR(INDEX('계정과목'!$D$6:$D$56,MATCH($E30,'계정과목'!$A$6:$A$56,0)),""))</x:f>
        <x:v>해당없음</x:v>
      </x:c>
      <x:c r="O30" s="9" t="str">
        <x:f>IF($E30="","",IF(COUNTIF('계정과목'!$A$6:$A$56,$E30)=0,"미등록","정상"))</x:f>
        <x:v>정상</x:v>
      </x:c>
      <x:c r="P30" s="14" t="n">
        <x:f>IF($A30="","",ROUND(SUMIFS('전표'!$F$7:$F$306,'전표'!$A$7:$A$306,$A30)-SUMIFS('전표'!$G$7:$G$306,'전표'!$A$7:$A$306,$A30),0))</x:f>
        <x:v>0</x:v>
      </x:c>
      <x:c r="Q30" s="14" t="n">
        <x:f>IF(ISNUMBER($P30),IF(ABS($P30)&gt;=1,1,0),0)</x:f>
        <x:v>0</x:v>
      </x:c>
    </x:row>
    <x:row r="31">
      <x:c r="A31" s="7"/>
      <x:c r="B31" s="11"/>
      <x:c r="C31" s="7"/>
      <x:c r="D31" s="7"/>
      <x:c r="E31" s="7"/>
      <x:c r="F31" s="13"/>
      <x:c r="G31" s="13"/>
      <x:c r="H31" s="13"/>
      <x:c r="I31" s="7"/>
      <x:c r="J31" s="7"/>
      <x:c r="K31" s="9" t="str">
        <x:f>IF($B31="","",TEXT($B31,"yyyy-mm"))</x:f>
      </x:c>
      <x:c r="L31" s="9" t="str">
        <x:f>IF($E31="","",IFERROR(INDEX('계정과목'!$B$6:$B$56,MATCH($E31,'계정과목'!$A$6:$A$56,0)),"미등록"))</x:f>
      </x:c>
      <x:c r="M31" s="9" t="str">
        <x:f>IF($E31="","",IFERROR(INDEX('계정과목'!$C$6:$C$56,MATCH($E31,'계정과목'!$A$6:$A$56,0)),""))</x:f>
      </x:c>
      <x:c r="N31" s="9" t="str">
        <x:f>IF($E31="","",IFERROR(INDEX('계정과목'!$D$6:$D$56,MATCH($E31,'계정과목'!$A$6:$A$56,0)),""))</x:f>
      </x:c>
      <x:c r="O31" s="9" t="str">
        <x:f>IF($E31="","",IF(COUNTIF('계정과목'!$A$6:$A$56,$E31)=0,"미등록","정상"))</x:f>
      </x:c>
      <x:c r="P31" s="14" t="str">
        <x:f>IF($A31="","",ROUND(SUMIFS('전표'!$F$7:$F$306,'전표'!$A$7:$A$306,$A31)-SUMIFS('전표'!$G$7:$G$306,'전표'!$A$7:$A$306,$A31),0))</x:f>
      </x:c>
      <x:c r="Q31" s="14" t="n">
        <x:f>IF(ISNUMBER($P31),IF(ABS($P31)&gt;=1,1,0),0)</x:f>
        <x:v>0</x:v>
      </x:c>
    </x:row>
    <x:row r="32">
      <x:c r="A32" s="7"/>
      <x:c r="B32" s="11"/>
      <x:c r="C32" s="7"/>
      <x:c r="D32" s="7"/>
      <x:c r="E32" s="7"/>
      <x:c r="F32" s="13"/>
      <x:c r="G32" s="13"/>
      <x:c r="H32" s="13"/>
      <x:c r="I32" s="7"/>
      <x:c r="J32" s="7"/>
      <x:c r="K32" s="9" t="str">
        <x:f>IF($B32="","",TEXT($B32,"yyyy-mm"))</x:f>
      </x:c>
      <x:c r="L32" s="9" t="str">
        <x:f>IF($E32="","",IFERROR(INDEX('계정과목'!$B$6:$B$56,MATCH($E32,'계정과목'!$A$6:$A$56,0)),"미등록"))</x:f>
      </x:c>
      <x:c r="M32" s="9" t="str">
        <x:f>IF($E32="","",IFERROR(INDEX('계정과목'!$C$6:$C$56,MATCH($E32,'계정과목'!$A$6:$A$56,0)),""))</x:f>
      </x:c>
      <x:c r="N32" s="9" t="str">
        <x:f>IF($E32="","",IFERROR(INDEX('계정과목'!$D$6:$D$56,MATCH($E32,'계정과목'!$A$6:$A$56,0)),""))</x:f>
      </x:c>
      <x:c r="O32" s="9" t="str">
        <x:f>IF($E32="","",IF(COUNTIF('계정과목'!$A$6:$A$56,$E32)=0,"미등록","정상"))</x:f>
      </x:c>
      <x:c r="P32" s="14" t="str">
        <x:f>IF($A32="","",ROUND(SUMIFS('전표'!$F$7:$F$306,'전표'!$A$7:$A$306,$A32)-SUMIFS('전표'!$G$7:$G$306,'전표'!$A$7:$A$306,$A32),0))</x:f>
      </x:c>
      <x:c r="Q32" s="14" t="n">
        <x:f>IF(ISNUMBER($P32),IF(ABS($P32)&gt;=1,1,0),0)</x:f>
        <x:v>0</x:v>
      </x:c>
    </x:row>
    <x:row r="33">
      <x:c r="A33" s="7"/>
      <x:c r="B33" s="11"/>
      <x:c r="C33" s="7"/>
      <x:c r="D33" s="7"/>
      <x:c r="E33" s="7"/>
      <x:c r="F33" s="13"/>
      <x:c r="G33" s="13"/>
      <x:c r="H33" s="13"/>
      <x:c r="I33" s="7"/>
      <x:c r="J33" s="7"/>
      <x:c r="K33" s="9" t="str">
        <x:f>IF($B33="","",TEXT($B33,"yyyy-mm"))</x:f>
      </x:c>
      <x:c r="L33" s="9" t="str">
        <x:f>IF($E33="","",IFERROR(INDEX('계정과목'!$B$6:$B$56,MATCH($E33,'계정과목'!$A$6:$A$56,0)),"미등록"))</x:f>
      </x:c>
      <x:c r="M33" s="9" t="str">
        <x:f>IF($E33="","",IFERROR(INDEX('계정과목'!$C$6:$C$56,MATCH($E33,'계정과목'!$A$6:$A$56,0)),""))</x:f>
      </x:c>
      <x:c r="N33" s="9" t="str">
        <x:f>IF($E33="","",IFERROR(INDEX('계정과목'!$D$6:$D$56,MATCH($E33,'계정과목'!$A$6:$A$56,0)),""))</x:f>
      </x:c>
      <x:c r="O33" s="9" t="str">
        <x:f>IF($E33="","",IF(COUNTIF('계정과목'!$A$6:$A$56,$E33)=0,"미등록","정상"))</x:f>
      </x:c>
      <x:c r="P33" s="14" t="str">
        <x:f>IF($A33="","",ROUND(SUMIFS('전표'!$F$7:$F$306,'전표'!$A$7:$A$306,$A33)-SUMIFS('전표'!$G$7:$G$306,'전표'!$A$7:$A$306,$A33),0))</x:f>
      </x:c>
      <x:c r="Q33" s="14" t="n">
        <x:f>IF(ISNUMBER($P33),IF(ABS($P33)&gt;=1,1,0),0)</x:f>
        <x:v>0</x:v>
      </x:c>
    </x:row>
    <x:row r="34">
      <x:c r="A34" s="7"/>
      <x:c r="B34" s="11"/>
      <x:c r="C34" s="7"/>
      <x:c r="D34" s="7"/>
      <x:c r="E34" s="7"/>
      <x:c r="F34" s="13"/>
      <x:c r="G34" s="13"/>
      <x:c r="H34" s="13"/>
      <x:c r="I34" s="7"/>
      <x:c r="J34" s="7"/>
      <x:c r="K34" s="9" t="str">
        <x:f>IF($B34="","",TEXT($B34,"yyyy-mm"))</x:f>
      </x:c>
      <x:c r="L34" s="9" t="str">
        <x:f>IF($E34="","",IFERROR(INDEX('계정과목'!$B$6:$B$56,MATCH($E34,'계정과목'!$A$6:$A$56,0)),"미등록"))</x:f>
      </x:c>
      <x:c r="M34" s="9" t="str">
        <x:f>IF($E34="","",IFERROR(INDEX('계정과목'!$C$6:$C$56,MATCH($E34,'계정과목'!$A$6:$A$56,0)),""))</x:f>
      </x:c>
      <x:c r="N34" s="9" t="str">
        <x:f>IF($E34="","",IFERROR(INDEX('계정과목'!$D$6:$D$56,MATCH($E34,'계정과목'!$A$6:$A$56,0)),""))</x:f>
      </x:c>
      <x:c r="O34" s="9" t="str">
        <x:f>IF($E34="","",IF(COUNTIF('계정과목'!$A$6:$A$56,$E34)=0,"미등록","정상"))</x:f>
      </x:c>
      <x:c r="P34" s="14" t="str">
        <x:f>IF($A34="","",ROUND(SUMIFS('전표'!$F$7:$F$306,'전표'!$A$7:$A$306,$A34)-SUMIFS('전표'!$G$7:$G$306,'전표'!$A$7:$A$306,$A34),0))</x:f>
      </x:c>
      <x:c r="Q34" s="14" t="n">
        <x:f>IF(ISNUMBER($P34),IF(ABS($P34)&gt;=1,1,0),0)</x:f>
        <x:v>0</x:v>
      </x:c>
    </x:row>
    <x:row r="35">
      <x:c r="A35" s="7"/>
      <x:c r="B35" s="11"/>
      <x:c r="C35" s="7"/>
      <x:c r="D35" s="7"/>
      <x:c r="E35" s="7"/>
      <x:c r="F35" s="13"/>
      <x:c r="G35" s="13"/>
      <x:c r="H35" s="13"/>
      <x:c r="I35" s="7"/>
      <x:c r="J35" s="7"/>
      <x:c r="K35" s="9" t="str">
        <x:f>IF($B35="","",TEXT($B35,"yyyy-mm"))</x:f>
      </x:c>
      <x:c r="L35" s="9" t="str">
        <x:f>IF($E35="","",IFERROR(INDEX('계정과목'!$B$6:$B$56,MATCH($E35,'계정과목'!$A$6:$A$56,0)),"미등록"))</x:f>
      </x:c>
      <x:c r="M35" s="9" t="str">
        <x:f>IF($E35="","",IFERROR(INDEX('계정과목'!$C$6:$C$56,MATCH($E35,'계정과목'!$A$6:$A$56,0)),""))</x:f>
      </x:c>
      <x:c r="N35" s="9" t="str">
        <x:f>IF($E35="","",IFERROR(INDEX('계정과목'!$D$6:$D$56,MATCH($E35,'계정과목'!$A$6:$A$56,0)),""))</x:f>
      </x:c>
      <x:c r="O35" s="9" t="str">
        <x:f>IF($E35="","",IF(COUNTIF('계정과목'!$A$6:$A$56,$E35)=0,"미등록","정상"))</x:f>
      </x:c>
      <x:c r="P35" s="14" t="str">
        <x:f>IF($A35="","",ROUND(SUMIFS('전표'!$F$7:$F$306,'전표'!$A$7:$A$306,$A35)-SUMIFS('전표'!$G$7:$G$306,'전표'!$A$7:$A$306,$A35),0))</x:f>
      </x:c>
      <x:c r="Q35" s="14" t="n">
        <x:f>IF(ISNUMBER($P35),IF(ABS($P35)&gt;=1,1,0),0)</x:f>
        <x:v>0</x:v>
      </x:c>
    </x:row>
    <x:row r="36">
      <x:c r="A36" s="7"/>
      <x:c r="B36" s="11"/>
      <x:c r="C36" s="7"/>
      <x:c r="D36" s="7"/>
      <x:c r="E36" s="7"/>
      <x:c r="F36" s="13"/>
      <x:c r="G36" s="13"/>
      <x:c r="H36" s="13"/>
      <x:c r="I36" s="7"/>
      <x:c r="J36" s="7"/>
      <x:c r="K36" s="9" t="str">
        <x:f>IF($B36="","",TEXT($B36,"yyyy-mm"))</x:f>
      </x:c>
      <x:c r="L36" s="9" t="str">
        <x:f>IF($E36="","",IFERROR(INDEX('계정과목'!$B$6:$B$56,MATCH($E36,'계정과목'!$A$6:$A$56,0)),"미등록"))</x:f>
      </x:c>
      <x:c r="M36" s="9" t="str">
        <x:f>IF($E36="","",IFERROR(INDEX('계정과목'!$C$6:$C$56,MATCH($E36,'계정과목'!$A$6:$A$56,0)),""))</x:f>
      </x:c>
      <x:c r="N36" s="9" t="str">
        <x:f>IF($E36="","",IFERROR(INDEX('계정과목'!$D$6:$D$56,MATCH($E36,'계정과목'!$A$6:$A$56,0)),""))</x:f>
      </x:c>
      <x:c r="O36" s="9" t="str">
        <x:f>IF($E36="","",IF(COUNTIF('계정과목'!$A$6:$A$56,$E36)=0,"미등록","정상"))</x:f>
      </x:c>
      <x:c r="P36" s="14" t="str">
        <x:f>IF($A36="","",ROUND(SUMIFS('전표'!$F$7:$F$306,'전표'!$A$7:$A$306,$A36)-SUMIFS('전표'!$G$7:$G$306,'전표'!$A$7:$A$306,$A36),0))</x:f>
      </x:c>
      <x:c r="Q36" s="14" t="n">
        <x:f>IF(ISNUMBER($P36),IF(ABS($P36)&gt;=1,1,0),0)</x:f>
        <x:v>0</x:v>
      </x:c>
    </x:row>
    <x:row r="37">
      <x:c r="A37" s="7"/>
      <x:c r="B37" s="11"/>
      <x:c r="C37" s="7"/>
      <x:c r="D37" s="7"/>
      <x:c r="E37" s="7"/>
      <x:c r="F37" s="13"/>
      <x:c r="G37" s="13"/>
      <x:c r="H37" s="13"/>
      <x:c r="I37" s="7"/>
      <x:c r="J37" s="7"/>
      <x:c r="K37" s="9" t="str">
        <x:f>IF($B37="","",TEXT($B37,"yyyy-mm"))</x:f>
      </x:c>
      <x:c r="L37" s="9" t="str">
        <x:f>IF($E37="","",IFERROR(INDEX('계정과목'!$B$6:$B$56,MATCH($E37,'계정과목'!$A$6:$A$56,0)),"미등록"))</x:f>
      </x:c>
      <x:c r="M37" s="9" t="str">
        <x:f>IF($E37="","",IFERROR(INDEX('계정과목'!$C$6:$C$56,MATCH($E37,'계정과목'!$A$6:$A$56,0)),""))</x:f>
      </x:c>
      <x:c r="N37" s="9" t="str">
        <x:f>IF($E37="","",IFERROR(INDEX('계정과목'!$D$6:$D$56,MATCH($E37,'계정과목'!$A$6:$A$56,0)),""))</x:f>
      </x:c>
      <x:c r="O37" s="9" t="str">
        <x:f>IF($E37="","",IF(COUNTIF('계정과목'!$A$6:$A$56,$E37)=0,"미등록","정상"))</x:f>
      </x:c>
      <x:c r="P37" s="14" t="str">
        <x:f>IF($A37="","",ROUND(SUMIFS('전표'!$F$7:$F$306,'전표'!$A$7:$A$306,$A37)-SUMIFS('전표'!$G$7:$G$306,'전표'!$A$7:$A$306,$A37),0))</x:f>
      </x:c>
      <x:c r="Q37" s="14" t="n">
        <x:f>IF(ISNUMBER($P37),IF(ABS($P37)&gt;=1,1,0),0)</x:f>
        <x:v>0</x:v>
      </x:c>
    </x:row>
    <x:row r="38">
      <x:c r="A38" s="7"/>
      <x:c r="B38" s="11"/>
      <x:c r="C38" s="7"/>
      <x:c r="D38" s="7"/>
      <x:c r="E38" s="7"/>
      <x:c r="F38" s="13"/>
      <x:c r="G38" s="13"/>
      <x:c r="H38" s="13"/>
      <x:c r="I38" s="7"/>
      <x:c r="J38" s="7"/>
      <x:c r="K38" s="9" t="str">
        <x:f>IF($B38="","",TEXT($B38,"yyyy-mm"))</x:f>
      </x:c>
      <x:c r="L38" s="9" t="str">
        <x:f>IF($E38="","",IFERROR(INDEX('계정과목'!$B$6:$B$56,MATCH($E38,'계정과목'!$A$6:$A$56,0)),"미등록"))</x:f>
      </x:c>
      <x:c r="M38" s="9" t="str">
        <x:f>IF($E38="","",IFERROR(INDEX('계정과목'!$C$6:$C$56,MATCH($E38,'계정과목'!$A$6:$A$56,0)),""))</x:f>
      </x:c>
      <x:c r="N38" s="9" t="str">
        <x:f>IF($E38="","",IFERROR(INDEX('계정과목'!$D$6:$D$56,MATCH($E38,'계정과목'!$A$6:$A$56,0)),""))</x:f>
      </x:c>
      <x:c r="O38" s="9" t="str">
        <x:f>IF($E38="","",IF(COUNTIF('계정과목'!$A$6:$A$56,$E38)=0,"미등록","정상"))</x:f>
      </x:c>
      <x:c r="P38" s="14" t="str">
        <x:f>IF($A38="","",ROUND(SUMIFS('전표'!$F$7:$F$306,'전표'!$A$7:$A$306,$A38)-SUMIFS('전표'!$G$7:$G$306,'전표'!$A$7:$A$306,$A38),0))</x:f>
      </x:c>
      <x:c r="Q38" s="14" t="n">
        <x:f>IF(ISNUMBER($P38),IF(ABS($P38)&gt;=1,1,0),0)</x:f>
        <x:v>0</x:v>
      </x:c>
    </x:row>
    <x:row r="39">
      <x:c r="A39" s="7"/>
      <x:c r="B39" s="11"/>
      <x:c r="C39" s="7"/>
      <x:c r="D39" s="7"/>
      <x:c r="E39" s="7"/>
      <x:c r="F39" s="13"/>
      <x:c r="G39" s="13"/>
      <x:c r="H39" s="13"/>
      <x:c r="I39" s="7"/>
      <x:c r="J39" s="7"/>
      <x:c r="K39" s="9" t="str">
        <x:f>IF($B39="","",TEXT($B39,"yyyy-mm"))</x:f>
      </x:c>
      <x:c r="L39" s="9" t="str">
        <x:f>IF($E39="","",IFERROR(INDEX('계정과목'!$B$6:$B$56,MATCH($E39,'계정과목'!$A$6:$A$56,0)),"미등록"))</x:f>
      </x:c>
      <x:c r="M39" s="9" t="str">
        <x:f>IF($E39="","",IFERROR(INDEX('계정과목'!$C$6:$C$56,MATCH($E39,'계정과목'!$A$6:$A$56,0)),""))</x:f>
      </x:c>
      <x:c r="N39" s="9" t="str">
        <x:f>IF($E39="","",IFERROR(INDEX('계정과목'!$D$6:$D$56,MATCH($E39,'계정과목'!$A$6:$A$56,0)),""))</x:f>
      </x:c>
      <x:c r="O39" s="9" t="str">
        <x:f>IF($E39="","",IF(COUNTIF('계정과목'!$A$6:$A$56,$E39)=0,"미등록","정상"))</x:f>
      </x:c>
      <x:c r="P39" s="14" t="str">
        <x:f>IF($A39="","",ROUND(SUMIFS('전표'!$F$7:$F$306,'전표'!$A$7:$A$306,$A39)-SUMIFS('전표'!$G$7:$G$306,'전표'!$A$7:$A$306,$A39),0))</x:f>
      </x:c>
      <x:c r="Q39" s="14" t="n">
        <x:f>IF(ISNUMBER($P39),IF(ABS($P39)&gt;=1,1,0),0)</x:f>
        <x:v>0</x:v>
      </x:c>
    </x:row>
    <x:row r="40">
      <x:c r="A40" s="7"/>
      <x:c r="B40" s="11"/>
      <x:c r="C40" s="7"/>
      <x:c r="D40" s="7"/>
      <x:c r="E40" s="7"/>
      <x:c r="F40" s="13"/>
      <x:c r="G40" s="13"/>
      <x:c r="H40" s="13"/>
      <x:c r="I40" s="7"/>
      <x:c r="J40" s="7"/>
      <x:c r="K40" s="9" t="str">
        <x:f>IF($B40="","",TEXT($B40,"yyyy-mm"))</x:f>
      </x:c>
      <x:c r="L40" s="9" t="str">
        <x:f>IF($E40="","",IFERROR(INDEX('계정과목'!$B$6:$B$56,MATCH($E40,'계정과목'!$A$6:$A$56,0)),"미등록"))</x:f>
      </x:c>
      <x:c r="M40" s="9" t="str">
        <x:f>IF($E40="","",IFERROR(INDEX('계정과목'!$C$6:$C$56,MATCH($E40,'계정과목'!$A$6:$A$56,0)),""))</x:f>
      </x:c>
      <x:c r="N40" s="9" t="str">
        <x:f>IF($E40="","",IFERROR(INDEX('계정과목'!$D$6:$D$56,MATCH($E40,'계정과목'!$A$6:$A$56,0)),""))</x:f>
      </x:c>
      <x:c r="O40" s="9" t="str">
        <x:f>IF($E40="","",IF(COUNTIF('계정과목'!$A$6:$A$56,$E40)=0,"미등록","정상"))</x:f>
      </x:c>
      <x:c r="P40" s="14" t="str">
        <x:f>IF($A40="","",ROUND(SUMIFS('전표'!$F$7:$F$306,'전표'!$A$7:$A$306,$A40)-SUMIFS('전표'!$G$7:$G$306,'전표'!$A$7:$A$306,$A40),0))</x:f>
      </x:c>
      <x:c r="Q40" s="14" t="n">
        <x:f>IF(ISNUMBER($P40),IF(ABS($P40)&gt;=1,1,0),0)</x:f>
        <x:v>0</x:v>
      </x:c>
    </x:row>
    <x:row r="41">
      <x:c r="A41" s="7"/>
      <x:c r="B41" s="11"/>
      <x:c r="C41" s="7"/>
      <x:c r="D41" s="7"/>
      <x:c r="E41" s="7"/>
      <x:c r="F41" s="13"/>
      <x:c r="G41" s="13"/>
      <x:c r="H41" s="13"/>
      <x:c r="I41" s="7"/>
      <x:c r="J41" s="7"/>
      <x:c r="K41" s="9" t="str">
        <x:f>IF($B41="","",TEXT($B41,"yyyy-mm"))</x:f>
      </x:c>
      <x:c r="L41" s="9" t="str">
        <x:f>IF($E41="","",IFERROR(INDEX('계정과목'!$B$6:$B$56,MATCH($E41,'계정과목'!$A$6:$A$56,0)),"미등록"))</x:f>
      </x:c>
      <x:c r="M41" s="9" t="str">
        <x:f>IF($E41="","",IFERROR(INDEX('계정과목'!$C$6:$C$56,MATCH($E41,'계정과목'!$A$6:$A$56,0)),""))</x:f>
      </x:c>
      <x:c r="N41" s="9" t="str">
        <x:f>IF($E41="","",IFERROR(INDEX('계정과목'!$D$6:$D$56,MATCH($E41,'계정과목'!$A$6:$A$56,0)),""))</x:f>
      </x:c>
      <x:c r="O41" s="9" t="str">
        <x:f>IF($E41="","",IF(COUNTIF('계정과목'!$A$6:$A$56,$E41)=0,"미등록","정상"))</x:f>
      </x:c>
      <x:c r="P41" s="14" t="str">
        <x:f>IF($A41="","",ROUND(SUMIFS('전표'!$F$7:$F$306,'전표'!$A$7:$A$306,$A41)-SUMIFS('전표'!$G$7:$G$306,'전표'!$A$7:$A$306,$A41),0))</x:f>
      </x:c>
      <x:c r="Q41" s="14" t="n">
        <x:f>IF(ISNUMBER($P41),IF(ABS($P41)&gt;=1,1,0),0)</x:f>
        <x:v>0</x:v>
      </x:c>
    </x:row>
    <x:row r="42">
      <x:c r="A42" s="7"/>
      <x:c r="B42" s="11"/>
      <x:c r="C42" s="7"/>
      <x:c r="D42" s="7"/>
      <x:c r="E42" s="7"/>
      <x:c r="F42" s="13"/>
      <x:c r="G42" s="13"/>
      <x:c r="H42" s="13"/>
      <x:c r="I42" s="7"/>
      <x:c r="J42" s="7"/>
      <x:c r="K42" s="9" t="str">
        <x:f>IF($B42="","",TEXT($B42,"yyyy-mm"))</x:f>
      </x:c>
      <x:c r="L42" s="9" t="str">
        <x:f>IF($E42="","",IFERROR(INDEX('계정과목'!$B$6:$B$56,MATCH($E42,'계정과목'!$A$6:$A$56,0)),"미등록"))</x:f>
      </x:c>
      <x:c r="M42" s="9" t="str">
        <x:f>IF($E42="","",IFERROR(INDEX('계정과목'!$C$6:$C$56,MATCH($E42,'계정과목'!$A$6:$A$56,0)),""))</x:f>
      </x:c>
      <x:c r="N42" s="9" t="str">
        <x:f>IF($E42="","",IFERROR(INDEX('계정과목'!$D$6:$D$56,MATCH($E42,'계정과목'!$A$6:$A$56,0)),""))</x:f>
      </x:c>
      <x:c r="O42" s="9" t="str">
        <x:f>IF($E42="","",IF(COUNTIF('계정과목'!$A$6:$A$56,$E42)=0,"미등록","정상"))</x:f>
      </x:c>
      <x:c r="P42" s="14" t="str">
        <x:f>IF($A42="","",ROUND(SUMIFS('전표'!$F$7:$F$306,'전표'!$A$7:$A$306,$A42)-SUMIFS('전표'!$G$7:$G$306,'전표'!$A$7:$A$306,$A42),0))</x:f>
      </x:c>
      <x:c r="Q42" s="14" t="n">
        <x:f>IF(ISNUMBER($P42),IF(ABS($P42)&gt;=1,1,0),0)</x:f>
        <x:v>0</x:v>
      </x:c>
    </x:row>
    <x:row r="43">
      <x:c r="A43" s="7"/>
      <x:c r="B43" s="11"/>
      <x:c r="C43" s="7"/>
      <x:c r="D43" s="7"/>
      <x:c r="E43" s="7"/>
      <x:c r="F43" s="13"/>
      <x:c r="G43" s="13"/>
      <x:c r="H43" s="13"/>
      <x:c r="I43" s="7"/>
      <x:c r="J43" s="7"/>
      <x:c r="K43" s="9" t="str">
        <x:f>IF($B43="","",TEXT($B43,"yyyy-mm"))</x:f>
      </x:c>
      <x:c r="L43" s="9" t="str">
        <x:f>IF($E43="","",IFERROR(INDEX('계정과목'!$B$6:$B$56,MATCH($E43,'계정과목'!$A$6:$A$56,0)),"미등록"))</x:f>
      </x:c>
      <x:c r="M43" s="9" t="str">
        <x:f>IF($E43="","",IFERROR(INDEX('계정과목'!$C$6:$C$56,MATCH($E43,'계정과목'!$A$6:$A$56,0)),""))</x:f>
      </x:c>
      <x:c r="N43" s="9" t="str">
        <x:f>IF($E43="","",IFERROR(INDEX('계정과목'!$D$6:$D$56,MATCH($E43,'계정과목'!$A$6:$A$56,0)),""))</x:f>
      </x:c>
      <x:c r="O43" s="9" t="str">
        <x:f>IF($E43="","",IF(COUNTIF('계정과목'!$A$6:$A$56,$E43)=0,"미등록","정상"))</x:f>
      </x:c>
      <x:c r="P43" s="14" t="str">
        <x:f>IF($A43="","",ROUND(SUMIFS('전표'!$F$7:$F$306,'전표'!$A$7:$A$306,$A43)-SUMIFS('전표'!$G$7:$G$306,'전표'!$A$7:$A$306,$A43),0))</x:f>
      </x:c>
      <x:c r="Q43" s="14" t="n">
        <x:f>IF(ISNUMBER($P43),IF(ABS($P43)&gt;=1,1,0),0)</x:f>
        <x:v>0</x:v>
      </x:c>
    </x:row>
    <x:row r="44">
      <x:c r="A44" s="7"/>
      <x:c r="B44" s="11"/>
      <x:c r="C44" s="7"/>
      <x:c r="D44" s="7"/>
      <x:c r="E44" s="7"/>
      <x:c r="F44" s="13"/>
      <x:c r="G44" s="13"/>
      <x:c r="H44" s="13"/>
      <x:c r="I44" s="7"/>
      <x:c r="J44" s="7"/>
      <x:c r="K44" s="9" t="str">
        <x:f>IF($B44="","",TEXT($B44,"yyyy-mm"))</x:f>
      </x:c>
      <x:c r="L44" s="9" t="str">
        <x:f>IF($E44="","",IFERROR(INDEX('계정과목'!$B$6:$B$56,MATCH($E44,'계정과목'!$A$6:$A$56,0)),"미등록"))</x:f>
      </x:c>
      <x:c r="M44" s="9" t="str">
        <x:f>IF($E44="","",IFERROR(INDEX('계정과목'!$C$6:$C$56,MATCH($E44,'계정과목'!$A$6:$A$56,0)),""))</x:f>
      </x:c>
      <x:c r="N44" s="9" t="str">
        <x:f>IF($E44="","",IFERROR(INDEX('계정과목'!$D$6:$D$56,MATCH($E44,'계정과목'!$A$6:$A$56,0)),""))</x:f>
      </x:c>
      <x:c r="O44" s="9" t="str">
        <x:f>IF($E44="","",IF(COUNTIF('계정과목'!$A$6:$A$56,$E44)=0,"미등록","정상"))</x:f>
      </x:c>
      <x:c r="P44" s="14" t="str">
        <x:f>IF($A44="","",ROUND(SUMIFS('전표'!$F$7:$F$306,'전표'!$A$7:$A$306,$A44)-SUMIFS('전표'!$G$7:$G$306,'전표'!$A$7:$A$306,$A44),0))</x:f>
      </x:c>
      <x:c r="Q44" s="14" t="n">
        <x:f>IF(ISNUMBER($P44),IF(ABS($P44)&gt;=1,1,0),0)</x:f>
        <x:v>0</x:v>
      </x:c>
    </x:row>
    <x:row r="45">
      <x:c r="A45" s="7"/>
      <x:c r="B45" s="11"/>
      <x:c r="C45" s="7"/>
      <x:c r="D45" s="7"/>
      <x:c r="E45" s="7"/>
      <x:c r="F45" s="13"/>
      <x:c r="G45" s="13"/>
      <x:c r="H45" s="13"/>
      <x:c r="I45" s="7"/>
      <x:c r="J45" s="7"/>
      <x:c r="K45" s="9" t="str">
        <x:f>IF($B45="","",TEXT($B45,"yyyy-mm"))</x:f>
      </x:c>
      <x:c r="L45" s="9" t="str">
        <x:f>IF($E45="","",IFERROR(INDEX('계정과목'!$B$6:$B$56,MATCH($E45,'계정과목'!$A$6:$A$56,0)),"미등록"))</x:f>
      </x:c>
      <x:c r="M45" s="9" t="str">
        <x:f>IF($E45="","",IFERROR(INDEX('계정과목'!$C$6:$C$56,MATCH($E45,'계정과목'!$A$6:$A$56,0)),""))</x:f>
      </x:c>
      <x:c r="N45" s="9" t="str">
        <x:f>IF($E45="","",IFERROR(INDEX('계정과목'!$D$6:$D$56,MATCH($E45,'계정과목'!$A$6:$A$56,0)),""))</x:f>
      </x:c>
      <x:c r="O45" s="9" t="str">
        <x:f>IF($E45="","",IF(COUNTIF('계정과목'!$A$6:$A$56,$E45)=0,"미등록","정상"))</x:f>
      </x:c>
      <x:c r="P45" s="14" t="str">
        <x:f>IF($A45="","",ROUND(SUMIFS('전표'!$F$7:$F$306,'전표'!$A$7:$A$306,$A45)-SUMIFS('전표'!$G$7:$G$306,'전표'!$A$7:$A$306,$A45),0))</x:f>
      </x:c>
      <x:c r="Q45" s="14" t="n">
        <x:f>IF(ISNUMBER($P45),IF(ABS($P45)&gt;=1,1,0),0)</x:f>
        <x:v>0</x:v>
      </x:c>
    </x:row>
    <x:row r="46">
      <x:c r="A46" s="7"/>
      <x:c r="B46" s="11"/>
      <x:c r="C46" s="7"/>
      <x:c r="D46" s="7"/>
      <x:c r="E46" s="7"/>
      <x:c r="F46" s="13"/>
      <x:c r="G46" s="13"/>
      <x:c r="H46" s="13"/>
      <x:c r="I46" s="7"/>
      <x:c r="J46" s="7"/>
      <x:c r="K46" s="9" t="str">
        <x:f>IF($B46="","",TEXT($B46,"yyyy-mm"))</x:f>
      </x:c>
      <x:c r="L46" s="9" t="str">
        <x:f>IF($E46="","",IFERROR(INDEX('계정과목'!$B$6:$B$56,MATCH($E46,'계정과목'!$A$6:$A$56,0)),"미등록"))</x:f>
      </x:c>
      <x:c r="M46" s="9" t="str">
        <x:f>IF($E46="","",IFERROR(INDEX('계정과목'!$C$6:$C$56,MATCH($E46,'계정과목'!$A$6:$A$56,0)),""))</x:f>
      </x:c>
      <x:c r="N46" s="9" t="str">
        <x:f>IF($E46="","",IFERROR(INDEX('계정과목'!$D$6:$D$56,MATCH($E46,'계정과목'!$A$6:$A$56,0)),""))</x:f>
      </x:c>
      <x:c r="O46" s="9" t="str">
        <x:f>IF($E46="","",IF(COUNTIF('계정과목'!$A$6:$A$56,$E46)=0,"미등록","정상"))</x:f>
      </x:c>
      <x:c r="P46" s="14" t="str">
        <x:f>IF($A46="","",ROUND(SUMIFS('전표'!$F$7:$F$306,'전표'!$A$7:$A$306,$A46)-SUMIFS('전표'!$G$7:$G$306,'전표'!$A$7:$A$306,$A46),0))</x:f>
      </x:c>
      <x:c r="Q46" s="14" t="n">
        <x:f>IF(ISNUMBER($P46),IF(ABS($P46)&gt;=1,1,0),0)</x:f>
        <x:v>0</x:v>
      </x:c>
    </x:row>
    <x:row r="47">
      <x:c r="A47" s="7"/>
      <x:c r="B47" s="11"/>
      <x:c r="C47" s="7"/>
      <x:c r="D47" s="7"/>
      <x:c r="E47" s="7"/>
      <x:c r="F47" s="13"/>
      <x:c r="G47" s="13"/>
      <x:c r="H47" s="13"/>
      <x:c r="I47" s="7"/>
      <x:c r="J47" s="7"/>
      <x:c r="K47" s="9" t="str">
        <x:f>IF($B47="","",TEXT($B47,"yyyy-mm"))</x:f>
      </x:c>
      <x:c r="L47" s="9" t="str">
        <x:f>IF($E47="","",IFERROR(INDEX('계정과목'!$B$6:$B$56,MATCH($E47,'계정과목'!$A$6:$A$56,0)),"미등록"))</x:f>
      </x:c>
      <x:c r="M47" s="9" t="str">
        <x:f>IF($E47="","",IFERROR(INDEX('계정과목'!$C$6:$C$56,MATCH($E47,'계정과목'!$A$6:$A$56,0)),""))</x:f>
      </x:c>
      <x:c r="N47" s="9" t="str">
        <x:f>IF($E47="","",IFERROR(INDEX('계정과목'!$D$6:$D$56,MATCH($E47,'계정과목'!$A$6:$A$56,0)),""))</x:f>
      </x:c>
      <x:c r="O47" s="9" t="str">
        <x:f>IF($E47="","",IF(COUNTIF('계정과목'!$A$6:$A$56,$E47)=0,"미등록","정상"))</x:f>
      </x:c>
      <x:c r="P47" s="14" t="str">
        <x:f>IF($A47="","",ROUND(SUMIFS('전표'!$F$7:$F$306,'전표'!$A$7:$A$306,$A47)-SUMIFS('전표'!$G$7:$G$306,'전표'!$A$7:$A$306,$A47),0))</x:f>
      </x:c>
      <x:c r="Q47" s="14" t="n">
        <x:f>IF(ISNUMBER($P47),IF(ABS($P47)&gt;=1,1,0),0)</x:f>
        <x:v>0</x:v>
      </x:c>
    </x:row>
    <x:row r="48">
      <x:c r="A48" s="7"/>
      <x:c r="B48" s="11"/>
      <x:c r="C48" s="7"/>
      <x:c r="D48" s="7"/>
      <x:c r="E48" s="7"/>
      <x:c r="F48" s="13"/>
      <x:c r="G48" s="13"/>
      <x:c r="H48" s="13"/>
      <x:c r="I48" s="7"/>
      <x:c r="J48" s="7"/>
      <x:c r="K48" s="9" t="str">
        <x:f>IF($B48="","",TEXT($B48,"yyyy-mm"))</x:f>
      </x:c>
      <x:c r="L48" s="9" t="str">
        <x:f>IF($E48="","",IFERROR(INDEX('계정과목'!$B$6:$B$56,MATCH($E48,'계정과목'!$A$6:$A$56,0)),"미등록"))</x:f>
      </x:c>
      <x:c r="M48" s="9" t="str">
        <x:f>IF($E48="","",IFERROR(INDEX('계정과목'!$C$6:$C$56,MATCH($E48,'계정과목'!$A$6:$A$56,0)),""))</x:f>
      </x:c>
      <x:c r="N48" s="9" t="str">
        <x:f>IF($E48="","",IFERROR(INDEX('계정과목'!$D$6:$D$56,MATCH($E48,'계정과목'!$A$6:$A$56,0)),""))</x:f>
      </x:c>
      <x:c r="O48" s="9" t="str">
        <x:f>IF($E48="","",IF(COUNTIF('계정과목'!$A$6:$A$56,$E48)=0,"미등록","정상"))</x:f>
      </x:c>
      <x:c r="P48" s="14" t="str">
        <x:f>IF($A48="","",ROUND(SUMIFS('전표'!$F$7:$F$306,'전표'!$A$7:$A$306,$A48)-SUMIFS('전표'!$G$7:$G$306,'전표'!$A$7:$A$306,$A48),0))</x:f>
      </x:c>
      <x:c r="Q48" s="14" t="n">
        <x:f>IF(ISNUMBER($P48),IF(ABS($P48)&gt;=1,1,0),0)</x:f>
        <x:v>0</x:v>
      </x:c>
    </x:row>
    <x:row r="49">
      <x:c r="A49" s="7"/>
      <x:c r="B49" s="11"/>
      <x:c r="C49" s="7"/>
      <x:c r="D49" s="7"/>
      <x:c r="E49" s="7"/>
      <x:c r="F49" s="13"/>
      <x:c r="G49" s="13"/>
      <x:c r="H49" s="13"/>
      <x:c r="I49" s="7"/>
      <x:c r="J49" s="7"/>
      <x:c r="K49" s="9" t="str">
        <x:f>IF($B49="","",TEXT($B49,"yyyy-mm"))</x:f>
      </x:c>
      <x:c r="L49" s="9" t="str">
        <x:f>IF($E49="","",IFERROR(INDEX('계정과목'!$B$6:$B$56,MATCH($E49,'계정과목'!$A$6:$A$56,0)),"미등록"))</x:f>
      </x:c>
      <x:c r="M49" s="9" t="str">
        <x:f>IF($E49="","",IFERROR(INDEX('계정과목'!$C$6:$C$56,MATCH($E49,'계정과목'!$A$6:$A$56,0)),""))</x:f>
      </x:c>
      <x:c r="N49" s="9" t="str">
        <x:f>IF($E49="","",IFERROR(INDEX('계정과목'!$D$6:$D$56,MATCH($E49,'계정과목'!$A$6:$A$56,0)),""))</x:f>
      </x:c>
      <x:c r="O49" s="9" t="str">
        <x:f>IF($E49="","",IF(COUNTIF('계정과목'!$A$6:$A$56,$E49)=0,"미등록","정상"))</x:f>
      </x:c>
      <x:c r="P49" s="14" t="str">
        <x:f>IF($A49="","",ROUND(SUMIFS('전표'!$F$7:$F$306,'전표'!$A$7:$A$306,$A49)-SUMIFS('전표'!$G$7:$G$306,'전표'!$A$7:$A$306,$A49),0))</x:f>
      </x:c>
      <x:c r="Q49" s="14" t="n">
        <x:f>IF(ISNUMBER($P49),IF(ABS($P49)&gt;=1,1,0),0)</x:f>
        <x:v>0</x:v>
      </x:c>
    </x:row>
    <x:row r="50">
      <x:c r="A50" s="7"/>
      <x:c r="B50" s="11"/>
      <x:c r="C50" s="7"/>
      <x:c r="D50" s="7"/>
      <x:c r="E50" s="7"/>
      <x:c r="F50" s="13"/>
      <x:c r="G50" s="13"/>
      <x:c r="H50" s="13"/>
      <x:c r="I50" s="7"/>
      <x:c r="J50" s="7"/>
      <x:c r="K50" s="9" t="str">
        <x:f>IF($B50="","",TEXT($B50,"yyyy-mm"))</x:f>
      </x:c>
      <x:c r="L50" s="9" t="str">
        <x:f>IF($E50="","",IFERROR(INDEX('계정과목'!$B$6:$B$56,MATCH($E50,'계정과목'!$A$6:$A$56,0)),"미등록"))</x:f>
      </x:c>
      <x:c r="M50" s="9" t="str">
        <x:f>IF($E50="","",IFERROR(INDEX('계정과목'!$C$6:$C$56,MATCH($E50,'계정과목'!$A$6:$A$56,0)),""))</x:f>
      </x:c>
      <x:c r="N50" s="9" t="str">
        <x:f>IF($E50="","",IFERROR(INDEX('계정과목'!$D$6:$D$56,MATCH($E50,'계정과목'!$A$6:$A$56,0)),""))</x:f>
      </x:c>
      <x:c r="O50" s="9" t="str">
        <x:f>IF($E50="","",IF(COUNTIF('계정과목'!$A$6:$A$56,$E50)=0,"미등록","정상"))</x:f>
      </x:c>
      <x:c r="P50" s="14" t="str">
        <x:f>IF($A50="","",ROUND(SUMIFS('전표'!$F$7:$F$306,'전표'!$A$7:$A$306,$A50)-SUMIFS('전표'!$G$7:$G$306,'전표'!$A$7:$A$306,$A50),0))</x:f>
      </x:c>
      <x:c r="Q50" s="14" t="n">
        <x:f>IF(ISNUMBER($P50),IF(ABS($P50)&gt;=1,1,0),0)</x:f>
        <x:v>0</x:v>
      </x:c>
    </x:row>
    <x:row r="51">
      <x:c r="A51" s="7"/>
      <x:c r="B51" s="11"/>
      <x:c r="C51" s="7"/>
      <x:c r="D51" s="7"/>
      <x:c r="E51" s="7"/>
      <x:c r="F51" s="13"/>
      <x:c r="G51" s="13"/>
      <x:c r="H51" s="13"/>
      <x:c r="I51" s="7"/>
      <x:c r="J51" s="7"/>
      <x:c r="K51" s="9" t="str">
        <x:f>IF($B51="","",TEXT($B51,"yyyy-mm"))</x:f>
      </x:c>
      <x:c r="L51" s="9" t="str">
        <x:f>IF($E51="","",IFERROR(INDEX('계정과목'!$B$6:$B$56,MATCH($E51,'계정과목'!$A$6:$A$56,0)),"미등록"))</x:f>
      </x:c>
      <x:c r="M51" s="9" t="str">
        <x:f>IF($E51="","",IFERROR(INDEX('계정과목'!$C$6:$C$56,MATCH($E51,'계정과목'!$A$6:$A$56,0)),""))</x:f>
      </x:c>
      <x:c r="N51" s="9" t="str">
        <x:f>IF($E51="","",IFERROR(INDEX('계정과목'!$D$6:$D$56,MATCH($E51,'계정과목'!$A$6:$A$56,0)),""))</x:f>
      </x:c>
      <x:c r="O51" s="9" t="str">
        <x:f>IF($E51="","",IF(COUNTIF('계정과목'!$A$6:$A$56,$E51)=0,"미등록","정상"))</x:f>
      </x:c>
      <x:c r="P51" s="14" t="str">
        <x:f>IF($A51="","",ROUND(SUMIFS('전표'!$F$7:$F$306,'전표'!$A$7:$A$306,$A51)-SUMIFS('전표'!$G$7:$G$306,'전표'!$A$7:$A$306,$A51),0))</x:f>
      </x:c>
      <x:c r="Q51" s="14" t="n">
        <x:f>IF(ISNUMBER($P51),IF(ABS($P51)&gt;=1,1,0),0)</x:f>
        <x:v>0</x:v>
      </x:c>
    </x:row>
    <x:row r="52">
      <x:c r="A52" s="7"/>
      <x:c r="B52" s="11"/>
      <x:c r="C52" s="7"/>
      <x:c r="D52" s="7"/>
      <x:c r="E52" s="7"/>
      <x:c r="F52" s="13"/>
      <x:c r="G52" s="13"/>
      <x:c r="H52" s="13"/>
      <x:c r="I52" s="7"/>
      <x:c r="J52" s="7"/>
      <x:c r="K52" s="9" t="str">
        <x:f>IF($B52="","",TEXT($B52,"yyyy-mm"))</x:f>
      </x:c>
      <x:c r="L52" s="9" t="str">
        <x:f>IF($E52="","",IFERROR(INDEX('계정과목'!$B$6:$B$56,MATCH($E52,'계정과목'!$A$6:$A$56,0)),"미등록"))</x:f>
      </x:c>
      <x:c r="M52" s="9" t="str">
        <x:f>IF($E52="","",IFERROR(INDEX('계정과목'!$C$6:$C$56,MATCH($E52,'계정과목'!$A$6:$A$56,0)),""))</x:f>
      </x:c>
      <x:c r="N52" s="9" t="str">
        <x:f>IF($E52="","",IFERROR(INDEX('계정과목'!$D$6:$D$56,MATCH($E52,'계정과목'!$A$6:$A$56,0)),""))</x:f>
      </x:c>
      <x:c r="O52" s="9" t="str">
        <x:f>IF($E52="","",IF(COUNTIF('계정과목'!$A$6:$A$56,$E52)=0,"미등록","정상"))</x:f>
      </x:c>
      <x:c r="P52" s="14" t="str">
        <x:f>IF($A52="","",ROUND(SUMIFS('전표'!$F$7:$F$306,'전표'!$A$7:$A$306,$A52)-SUMIFS('전표'!$G$7:$G$306,'전표'!$A$7:$A$306,$A52),0))</x:f>
      </x:c>
      <x:c r="Q52" s="14" t="n">
        <x:f>IF(ISNUMBER($P52),IF(ABS($P52)&gt;=1,1,0),0)</x:f>
        <x:v>0</x:v>
      </x:c>
    </x:row>
    <x:row r="53">
      <x:c r="A53" s="7"/>
      <x:c r="B53" s="11"/>
      <x:c r="C53" s="7"/>
      <x:c r="D53" s="7"/>
      <x:c r="E53" s="7"/>
      <x:c r="F53" s="13"/>
      <x:c r="G53" s="13"/>
      <x:c r="H53" s="13"/>
      <x:c r="I53" s="7"/>
      <x:c r="J53" s="7"/>
      <x:c r="K53" s="9" t="str">
        <x:f>IF($B53="","",TEXT($B53,"yyyy-mm"))</x:f>
      </x:c>
      <x:c r="L53" s="9" t="str">
        <x:f>IF($E53="","",IFERROR(INDEX('계정과목'!$B$6:$B$56,MATCH($E53,'계정과목'!$A$6:$A$56,0)),"미등록"))</x:f>
      </x:c>
      <x:c r="M53" s="9" t="str">
        <x:f>IF($E53="","",IFERROR(INDEX('계정과목'!$C$6:$C$56,MATCH($E53,'계정과목'!$A$6:$A$56,0)),""))</x:f>
      </x:c>
      <x:c r="N53" s="9" t="str">
        <x:f>IF($E53="","",IFERROR(INDEX('계정과목'!$D$6:$D$56,MATCH($E53,'계정과목'!$A$6:$A$56,0)),""))</x:f>
      </x:c>
      <x:c r="O53" s="9" t="str">
        <x:f>IF($E53="","",IF(COUNTIF('계정과목'!$A$6:$A$56,$E53)=0,"미등록","정상"))</x:f>
      </x:c>
      <x:c r="P53" s="14" t="str">
        <x:f>IF($A53="","",ROUND(SUMIFS('전표'!$F$7:$F$306,'전표'!$A$7:$A$306,$A53)-SUMIFS('전표'!$G$7:$G$306,'전표'!$A$7:$A$306,$A53),0))</x:f>
      </x:c>
      <x:c r="Q53" s="14" t="n">
        <x:f>IF(ISNUMBER($P53),IF(ABS($P53)&gt;=1,1,0),0)</x:f>
        <x:v>0</x:v>
      </x:c>
    </x:row>
    <x:row r="54">
      <x:c r="A54" s="7"/>
      <x:c r="B54" s="11"/>
      <x:c r="C54" s="7"/>
      <x:c r="D54" s="7"/>
      <x:c r="E54" s="7"/>
      <x:c r="F54" s="13"/>
      <x:c r="G54" s="13"/>
      <x:c r="H54" s="13"/>
      <x:c r="I54" s="7"/>
      <x:c r="J54" s="7"/>
      <x:c r="K54" s="9" t="str">
        <x:f>IF($B54="","",TEXT($B54,"yyyy-mm"))</x:f>
      </x:c>
      <x:c r="L54" s="9" t="str">
        <x:f>IF($E54="","",IFERROR(INDEX('계정과목'!$B$6:$B$56,MATCH($E54,'계정과목'!$A$6:$A$56,0)),"미등록"))</x:f>
      </x:c>
      <x:c r="M54" s="9" t="str">
        <x:f>IF($E54="","",IFERROR(INDEX('계정과목'!$C$6:$C$56,MATCH($E54,'계정과목'!$A$6:$A$56,0)),""))</x:f>
      </x:c>
      <x:c r="N54" s="9" t="str">
        <x:f>IF($E54="","",IFERROR(INDEX('계정과목'!$D$6:$D$56,MATCH($E54,'계정과목'!$A$6:$A$56,0)),""))</x:f>
      </x:c>
      <x:c r="O54" s="9" t="str">
        <x:f>IF($E54="","",IF(COUNTIF('계정과목'!$A$6:$A$56,$E54)=0,"미등록","정상"))</x:f>
      </x:c>
      <x:c r="P54" s="14" t="str">
        <x:f>IF($A54="","",ROUND(SUMIFS('전표'!$F$7:$F$306,'전표'!$A$7:$A$306,$A54)-SUMIFS('전표'!$G$7:$G$306,'전표'!$A$7:$A$306,$A54),0))</x:f>
      </x:c>
      <x:c r="Q54" s="14" t="n">
        <x:f>IF(ISNUMBER($P54),IF(ABS($P54)&gt;=1,1,0),0)</x:f>
        <x:v>0</x:v>
      </x:c>
    </x:row>
    <x:row r="55">
      <x:c r="A55" s="7"/>
      <x:c r="B55" s="11"/>
      <x:c r="C55" s="7"/>
      <x:c r="D55" s="7"/>
      <x:c r="E55" s="7"/>
      <x:c r="F55" s="13"/>
      <x:c r="G55" s="13"/>
      <x:c r="H55" s="13"/>
      <x:c r="I55" s="7"/>
      <x:c r="J55" s="7"/>
      <x:c r="K55" s="9" t="str">
        <x:f>IF($B55="","",TEXT($B55,"yyyy-mm"))</x:f>
      </x:c>
      <x:c r="L55" s="9" t="str">
        <x:f>IF($E55="","",IFERROR(INDEX('계정과목'!$B$6:$B$56,MATCH($E55,'계정과목'!$A$6:$A$56,0)),"미등록"))</x:f>
      </x:c>
      <x:c r="M55" s="9" t="str">
        <x:f>IF($E55="","",IFERROR(INDEX('계정과목'!$C$6:$C$56,MATCH($E55,'계정과목'!$A$6:$A$56,0)),""))</x:f>
      </x:c>
      <x:c r="N55" s="9" t="str">
        <x:f>IF($E55="","",IFERROR(INDEX('계정과목'!$D$6:$D$56,MATCH($E55,'계정과목'!$A$6:$A$56,0)),""))</x:f>
      </x:c>
      <x:c r="O55" s="9" t="str">
        <x:f>IF($E55="","",IF(COUNTIF('계정과목'!$A$6:$A$56,$E55)=0,"미등록","정상"))</x:f>
      </x:c>
      <x:c r="P55" s="14" t="str">
        <x:f>IF($A55="","",ROUND(SUMIFS('전표'!$F$7:$F$306,'전표'!$A$7:$A$306,$A55)-SUMIFS('전표'!$G$7:$G$306,'전표'!$A$7:$A$306,$A55),0))</x:f>
      </x:c>
      <x:c r="Q55" s="14" t="n">
        <x:f>IF(ISNUMBER($P55),IF(ABS($P55)&gt;=1,1,0),0)</x:f>
        <x:v>0</x:v>
      </x:c>
    </x:row>
    <x:row r="56">
      <x:c r="A56" s="7"/>
      <x:c r="B56" s="11"/>
      <x:c r="C56" s="7"/>
      <x:c r="D56" s="7"/>
      <x:c r="E56" s="7"/>
      <x:c r="F56" s="13"/>
      <x:c r="G56" s="13"/>
      <x:c r="H56" s="13"/>
      <x:c r="I56" s="7"/>
      <x:c r="J56" s="7"/>
      <x:c r="K56" s="9" t="str">
        <x:f>IF($B56="","",TEXT($B56,"yyyy-mm"))</x:f>
      </x:c>
      <x:c r="L56" s="9" t="str">
        <x:f>IF($E56="","",IFERROR(INDEX('계정과목'!$B$6:$B$56,MATCH($E56,'계정과목'!$A$6:$A$56,0)),"미등록"))</x:f>
      </x:c>
      <x:c r="M56" s="9" t="str">
        <x:f>IF($E56="","",IFERROR(INDEX('계정과목'!$C$6:$C$56,MATCH($E56,'계정과목'!$A$6:$A$56,0)),""))</x:f>
      </x:c>
      <x:c r="N56" s="9" t="str">
        <x:f>IF($E56="","",IFERROR(INDEX('계정과목'!$D$6:$D$56,MATCH($E56,'계정과목'!$A$6:$A$56,0)),""))</x:f>
      </x:c>
      <x:c r="O56" s="9" t="str">
        <x:f>IF($E56="","",IF(COUNTIF('계정과목'!$A$6:$A$56,$E56)=0,"미등록","정상"))</x:f>
      </x:c>
      <x:c r="P56" s="14" t="str">
        <x:f>IF($A56="","",ROUND(SUMIFS('전표'!$F$7:$F$306,'전표'!$A$7:$A$306,$A56)-SUMIFS('전표'!$G$7:$G$306,'전표'!$A$7:$A$306,$A56),0))</x:f>
      </x:c>
      <x:c r="Q56" s="14" t="n">
        <x:f>IF(ISNUMBER($P56),IF(ABS($P56)&gt;=1,1,0),0)</x:f>
        <x:v>0</x:v>
      </x:c>
    </x:row>
    <x:row r="57">
      <x:c r="A57" s="7"/>
      <x:c r="B57" s="11"/>
      <x:c r="C57" s="7"/>
      <x:c r="D57" s="7"/>
      <x:c r="E57" s="7"/>
      <x:c r="F57" s="13"/>
      <x:c r="G57" s="13"/>
      <x:c r="H57" s="13"/>
      <x:c r="I57" s="7"/>
      <x:c r="J57" s="7"/>
      <x:c r="K57" s="9" t="str">
        <x:f>IF($B57="","",TEXT($B57,"yyyy-mm"))</x:f>
      </x:c>
      <x:c r="L57" s="9" t="str">
        <x:f>IF($E57="","",IFERROR(INDEX('계정과목'!$B$6:$B$56,MATCH($E57,'계정과목'!$A$6:$A$56,0)),"미등록"))</x:f>
      </x:c>
      <x:c r="M57" s="9" t="str">
        <x:f>IF($E57="","",IFERROR(INDEX('계정과목'!$C$6:$C$56,MATCH($E57,'계정과목'!$A$6:$A$56,0)),""))</x:f>
      </x:c>
      <x:c r="N57" s="9" t="str">
        <x:f>IF($E57="","",IFERROR(INDEX('계정과목'!$D$6:$D$56,MATCH($E57,'계정과목'!$A$6:$A$56,0)),""))</x:f>
      </x:c>
      <x:c r="O57" s="9" t="str">
        <x:f>IF($E57="","",IF(COUNTIF('계정과목'!$A$6:$A$56,$E57)=0,"미등록","정상"))</x:f>
      </x:c>
      <x:c r="P57" s="14" t="str">
        <x:f>IF($A57="","",ROUND(SUMIFS('전표'!$F$7:$F$306,'전표'!$A$7:$A$306,$A57)-SUMIFS('전표'!$G$7:$G$306,'전표'!$A$7:$A$306,$A57),0))</x:f>
      </x:c>
      <x:c r="Q57" s="14" t="n">
        <x:f>IF(ISNUMBER($P57),IF(ABS($P57)&gt;=1,1,0),0)</x:f>
        <x:v>0</x:v>
      </x:c>
    </x:row>
    <x:row r="58">
      <x:c r="A58" s="7"/>
      <x:c r="B58" s="11"/>
      <x:c r="C58" s="7"/>
      <x:c r="D58" s="7"/>
      <x:c r="E58" s="7"/>
      <x:c r="F58" s="13"/>
      <x:c r="G58" s="13"/>
      <x:c r="H58" s="13"/>
      <x:c r="I58" s="7"/>
      <x:c r="J58" s="7"/>
      <x:c r="K58" s="9" t="str">
        <x:f>IF($B58="","",TEXT($B58,"yyyy-mm"))</x:f>
      </x:c>
      <x:c r="L58" s="9" t="str">
        <x:f>IF($E58="","",IFERROR(INDEX('계정과목'!$B$6:$B$56,MATCH($E58,'계정과목'!$A$6:$A$56,0)),"미등록"))</x:f>
      </x:c>
      <x:c r="M58" s="9" t="str">
        <x:f>IF($E58="","",IFERROR(INDEX('계정과목'!$C$6:$C$56,MATCH($E58,'계정과목'!$A$6:$A$56,0)),""))</x:f>
      </x:c>
      <x:c r="N58" s="9" t="str">
        <x:f>IF($E58="","",IFERROR(INDEX('계정과목'!$D$6:$D$56,MATCH($E58,'계정과목'!$A$6:$A$56,0)),""))</x:f>
      </x:c>
      <x:c r="O58" s="9" t="str">
        <x:f>IF($E58="","",IF(COUNTIF('계정과목'!$A$6:$A$56,$E58)=0,"미등록","정상"))</x:f>
      </x:c>
      <x:c r="P58" s="14" t="str">
        <x:f>IF($A58="","",ROUND(SUMIFS('전표'!$F$7:$F$306,'전표'!$A$7:$A$306,$A58)-SUMIFS('전표'!$G$7:$G$306,'전표'!$A$7:$A$306,$A58),0))</x:f>
      </x:c>
      <x:c r="Q58" s="14" t="n">
        <x:f>IF(ISNUMBER($P58),IF(ABS($P58)&gt;=1,1,0),0)</x:f>
        <x:v>0</x:v>
      </x:c>
    </x:row>
    <x:row r="59">
      <x:c r="A59" s="7"/>
      <x:c r="B59" s="11"/>
      <x:c r="C59" s="7"/>
      <x:c r="D59" s="7"/>
      <x:c r="E59" s="7"/>
      <x:c r="F59" s="13"/>
      <x:c r="G59" s="13"/>
      <x:c r="H59" s="13"/>
      <x:c r="I59" s="7"/>
      <x:c r="J59" s="7"/>
      <x:c r="K59" s="9" t="str">
        <x:f>IF($B59="","",TEXT($B59,"yyyy-mm"))</x:f>
      </x:c>
      <x:c r="L59" s="9" t="str">
        <x:f>IF($E59="","",IFERROR(INDEX('계정과목'!$B$6:$B$56,MATCH($E59,'계정과목'!$A$6:$A$56,0)),"미등록"))</x:f>
      </x:c>
      <x:c r="M59" s="9" t="str">
        <x:f>IF($E59="","",IFERROR(INDEX('계정과목'!$C$6:$C$56,MATCH($E59,'계정과목'!$A$6:$A$56,0)),""))</x:f>
      </x:c>
      <x:c r="N59" s="9" t="str">
        <x:f>IF($E59="","",IFERROR(INDEX('계정과목'!$D$6:$D$56,MATCH($E59,'계정과목'!$A$6:$A$56,0)),""))</x:f>
      </x:c>
      <x:c r="O59" s="9" t="str">
        <x:f>IF($E59="","",IF(COUNTIF('계정과목'!$A$6:$A$56,$E59)=0,"미등록","정상"))</x:f>
      </x:c>
      <x:c r="P59" s="14" t="str">
        <x:f>IF($A59="","",ROUND(SUMIFS('전표'!$F$7:$F$306,'전표'!$A$7:$A$306,$A59)-SUMIFS('전표'!$G$7:$G$306,'전표'!$A$7:$A$306,$A59),0))</x:f>
      </x:c>
      <x:c r="Q59" s="14" t="n">
        <x:f>IF(ISNUMBER($P59),IF(ABS($P59)&gt;=1,1,0),0)</x:f>
        <x:v>0</x:v>
      </x:c>
    </x:row>
    <x:row r="60">
      <x:c r="A60" s="7"/>
      <x:c r="B60" s="11"/>
      <x:c r="C60" s="7"/>
      <x:c r="D60" s="7"/>
      <x:c r="E60" s="7"/>
      <x:c r="F60" s="13"/>
      <x:c r="G60" s="13"/>
      <x:c r="H60" s="13"/>
      <x:c r="I60" s="7"/>
      <x:c r="J60" s="7"/>
      <x:c r="K60" s="9" t="str">
        <x:f>IF($B60="","",TEXT($B60,"yyyy-mm"))</x:f>
      </x:c>
      <x:c r="L60" s="9" t="str">
        <x:f>IF($E60="","",IFERROR(INDEX('계정과목'!$B$6:$B$56,MATCH($E60,'계정과목'!$A$6:$A$56,0)),"미등록"))</x:f>
      </x:c>
      <x:c r="M60" s="9" t="str">
        <x:f>IF($E60="","",IFERROR(INDEX('계정과목'!$C$6:$C$56,MATCH($E60,'계정과목'!$A$6:$A$56,0)),""))</x:f>
      </x:c>
      <x:c r="N60" s="9" t="str">
        <x:f>IF($E60="","",IFERROR(INDEX('계정과목'!$D$6:$D$56,MATCH($E60,'계정과목'!$A$6:$A$56,0)),""))</x:f>
      </x:c>
      <x:c r="O60" s="9" t="str">
        <x:f>IF($E60="","",IF(COUNTIF('계정과목'!$A$6:$A$56,$E60)=0,"미등록","정상"))</x:f>
      </x:c>
      <x:c r="P60" s="14" t="str">
        <x:f>IF($A60="","",ROUND(SUMIFS('전표'!$F$7:$F$306,'전표'!$A$7:$A$306,$A60)-SUMIFS('전표'!$G$7:$G$306,'전표'!$A$7:$A$306,$A60),0))</x:f>
      </x:c>
      <x:c r="Q60" s="14" t="n">
        <x:f>IF(ISNUMBER($P60),IF(ABS($P60)&gt;=1,1,0),0)</x:f>
        <x:v>0</x:v>
      </x:c>
    </x:row>
    <x:row r="61">
      <x:c r="A61" s="7"/>
      <x:c r="B61" s="11"/>
      <x:c r="C61" s="7"/>
      <x:c r="D61" s="7"/>
      <x:c r="E61" s="7"/>
      <x:c r="F61" s="13"/>
      <x:c r="G61" s="13"/>
      <x:c r="H61" s="13"/>
      <x:c r="I61" s="7"/>
      <x:c r="J61" s="7"/>
      <x:c r="K61" s="9" t="str">
        <x:f>IF($B61="","",TEXT($B61,"yyyy-mm"))</x:f>
      </x:c>
      <x:c r="L61" s="9" t="str">
        <x:f>IF($E61="","",IFERROR(INDEX('계정과목'!$B$6:$B$56,MATCH($E61,'계정과목'!$A$6:$A$56,0)),"미등록"))</x:f>
      </x:c>
      <x:c r="M61" s="9" t="str">
        <x:f>IF($E61="","",IFERROR(INDEX('계정과목'!$C$6:$C$56,MATCH($E61,'계정과목'!$A$6:$A$56,0)),""))</x:f>
      </x:c>
      <x:c r="N61" s="9" t="str">
        <x:f>IF($E61="","",IFERROR(INDEX('계정과목'!$D$6:$D$56,MATCH($E61,'계정과목'!$A$6:$A$56,0)),""))</x:f>
      </x:c>
      <x:c r="O61" s="9" t="str">
        <x:f>IF($E61="","",IF(COUNTIF('계정과목'!$A$6:$A$56,$E61)=0,"미등록","정상"))</x:f>
      </x:c>
      <x:c r="P61" s="14" t="str">
        <x:f>IF($A61="","",ROUND(SUMIFS('전표'!$F$7:$F$306,'전표'!$A$7:$A$306,$A61)-SUMIFS('전표'!$G$7:$G$306,'전표'!$A$7:$A$306,$A61),0))</x:f>
      </x:c>
      <x:c r="Q61" s="14" t="n">
        <x:f>IF(ISNUMBER($P61),IF(ABS($P61)&gt;=1,1,0),0)</x:f>
        <x:v>0</x:v>
      </x:c>
    </x:row>
    <x:row r="62">
      <x:c r="A62" s="7"/>
      <x:c r="B62" s="11"/>
      <x:c r="C62" s="7"/>
      <x:c r="D62" s="7"/>
      <x:c r="E62" s="7"/>
      <x:c r="F62" s="13"/>
      <x:c r="G62" s="13"/>
      <x:c r="H62" s="13"/>
      <x:c r="I62" s="7"/>
      <x:c r="J62" s="7"/>
      <x:c r="K62" s="9" t="str">
        <x:f>IF($B62="","",TEXT($B62,"yyyy-mm"))</x:f>
      </x:c>
      <x:c r="L62" s="9" t="str">
        <x:f>IF($E62="","",IFERROR(INDEX('계정과목'!$B$6:$B$56,MATCH($E62,'계정과목'!$A$6:$A$56,0)),"미등록"))</x:f>
      </x:c>
      <x:c r="M62" s="9" t="str">
        <x:f>IF($E62="","",IFERROR(INDEX('계정과목'!$C$6:$C$56,MATCH($E62,'계정과목'!$A$6:$A$56,0)),""))</x:f>
      </x:c>
      <x:c r="N62" s="9" t="str">
        <x:f>IF($E62="","",IFERROR(INDEX('계정과목'!$D$6:$D$56,MATCH($E62,'계정과목'!$A$6:$A$56,0)),""))</x:f>
      </x:c>
      <x:c r="O62" s="9" t="str">
        <x:f>IF($E62="","",IF(COUNTIF('계정과목'!$A$6:$A$56,$E62)=0,"미등록","정상"))</x:f>
      </x:c>
      <x:c r="P62" s="14" t="str">
        <x:f>IF($A62="","",ROUND(SUMIFS('전표'!$F$7:$F$306,'전표'!$A$7:$A$306,$A62)-SUMIFS('전표'!$G$7:$G$306,'전표'!$A$7:$A$306,$A62),0))</x:f>
      </x:c>
      <x:c r="Q62" s="14" t="n">
        <x:f>IF(ISNUMBER($P62),IF(ABS($P62)&gt;=1,1,0),0)</x:f>
        <x:v>0</x:v>
      </x:c>
    </x:row>
    <x:row r="63">
      <x:c r="A63" s="7"/>
      <x:c r="B63" s="11"/>
      <x:c r="C63" s="7"/>
      <x:c r="D63" s="7"/>
      <x:c r="E63" s="7"/>
      <x:c r="F63" s="13"/>
      <x:c r="G63" s="13"/>
      <x:c r="H63" s="13"/>
      <x:c r="I63" s="7"/>
      <x:c r="J63" s="7"/>
      <x:c r="K63" s="9" t="str">
        <x:f>IF($B63="","",TEXT($B63,"yyyy-mm"))</x:f>
      </x:c>
      <x:c r="L63" s="9" t="str">
        <x:f>IF($E63="","",IFERROR(INDEX('계정과목'!$B$6:$B$56,MATCH($E63,'계정과목'!$A$6:$A$56,0)),"미등록"))</x:f>
      </x:c>
      <x:c r="M63" s="9" t="str">
        <x:f>IF($E63="","",IFERROR(INDEX('계정과목'!$C$6:$C$56,MATCH($E63,'계정과목'!$A$6:$A$56,0)),""))</x:f>
      </x:c>
      <x:c r="N63" s="9" t="str">
        <x:f>IF($E63="","",IFERROR(INDEX('계정과목'!$D$6:$D$56,MATCH($E63,'계정과목'!$A$6:$A$56,0)),""))</x:f>
      </x:c>
      <x:c r="O63" s="9" t="str">
        <x:f>IF($E63="","",IF(COUNTIF('계정과목'!$A$6:$A$56,$E63)=0,"미등록","정상"))</x:f>
      </x:c>
      <x:c r="P63" s="14" t="str">
        <x:f>IF($A63="","",ROUND(SUMIFS('전표'!$F$7:$F$306,'전표'!$A$7:$A$306,$A63)-SUMIFS('전표'!$G$7:$G$306,'전표'!$A$7:$A$306,$A63),0))</x:f>
      </x:c>
      <x:c r="Q63" s="14" t="n">
        <x:f>IF(ISNUMBER($P63),IF(ABS($P63)&gt;=1,1,0),0)</x:f>
        <x:v>0</x:v>
      </x:c>
    </x:row>
    <x:row r="64">
      <x:c r="A64" s="7"/>
      <x:c r="B64" s="11"/>
      <x:c r="C64" s="7"/>
      <x:c r="D64" s="7"/>
      <x:c r="E64" s="7"/>
      <x:c r="F64" s="13"/>
      <x:c r="G64" s="13"/>
      <x:c r="H64" s="13"/>
      <x:c r="I64" s="7"/>
      <x:c r="J64" s="7"/>
      <x:c r="K64" s="9" t="str">
        <x:f>IF($B64="","",TEXT($B64,"yyyy-mm"))</x:f>
      </x:c>
      <x:c r="L64" s="9" t="str">
        <x:f>IF($E64="","",IFERROR(INDEX('계정과목'!$B$6:$B$56,MATCH($E64,'계정과목'!$A$6:$A$56,0)),"미등록"))</x:f>
      </x:c>
      <x:c r="M64" s="9" t="str">
        <x:f>IF($E64="","",IFERROR(INDEX('계정과목'!$C$6:$C$56,MATCH($E64,'계정과목'!$A$6:$A$56,0)),""))</x:f>
      </x:c>
      <x:c r="N64" s="9" t="str">
        <x:f>IF($E64="","",IFERROR(INDEX('계정과목'!$D$6:$D$56,MATCH($E64,'계정과목'!$A$6:$A$56,0)),""))</x:f>
      </x:c>
      <x:c r="O64" s="9" t="str">
        <x:f>IF($E64="","",IF(COUNTIF('계정과목'!$A$6:$A$56,$E64)=0,"미등록","정상"))</x:f>
      </x:c>
      <x:c r="P64" s="14" t="str">
        <x:f>IF($A64="","",ROUND(SUMIFS('전표'!$F$7:$F$306,'전표'!$A$7:$A$306,$A64)-SUMIFS('전표'!$G$7:$G$306,'전표'!$A$7:$A$306,$A64),0))</x:f>
      </x:c>
      <x:c r="Q64" s="14" t="n">
        <x:f>IF(ISNUMBER($P64),IF(ABS($P64)&gt;=1,1,0),0)</x:f>
        <x:v>0</x:v>
      </x:c>
    </x:row>
    <x:row r="65">
      <x:c r="A65" s="7"/>
      <x:c r="B65" s="11"/>
      <x:c r="C65" s="7"/>
      <x:c r="D65" s="7"/>
      <x:c r="E65" s="7"/>
      <x:c r="F65" s="13"/>
      <x:c r="G65" s="13"/>
      <x:c r="H65" s="13"/>
      <x:c r="I65" s="7"/>
      <x:c r="J65" s="7"/>
      <x:c r="K65" s="9" t="str">
        <x:f>IF($B65="","",TEXT($B65,"yyyy-mm"))</x:f>
      </x:c>
      <x:c r="L65" s="9" t="str">
        <x:f>IF($E65="","",IFERROR(INDEX('계정과목'!$B$6:$B$56,MATCH($E65,'계정과목'!$A$6:$A$56,0)),"미등록"))</x:f>
      </x:c>
      <x:c r="M65" s="9" t="str">
        <x:f>IF($E65="","",IFERROR(INDEX('계정과목'!$C$6:$C$56,MATCH($E65,'계정과목'!$A$6:$A$56,0)),""))</x:f>
      </x:c>
      <x:c r="N65" s="9" t="str">
        <x:f>IF($E65="","",IFERROR(INDEX('계정과목'!$D$6:$D$56,MATCH($E65,'계정과목'!$A$6:$A$56,0)),""))</x:f>
      </x:c>
      <x:c r="O65" s="9" t="str">
        <x:f>IF($E65="","",IF(COUNTIF('계정과목'!$A$6:$A$56,$E65)=0,"미등록","정상"))</x:f>
      </x:c>
      <x:c r="P65" s="14" t="str">
        <x:f>IF($A65="","",ROUND(SUMIFS('전표'!$F$7:$F$306,'전표'!$A$7:$A$306,$A65)-SUMIFS('전표'!$G$7:$G$306,'전표'!$A$7:$A$306,$A65),0))</x:f>
      </x:c>
      <x:c r="Q65" s="14" t="n">
        <x:f>IF(ISNUMBER($P65),IF(ABS($P65)&gt;=1,1,0),0)</x:f>
        <x:v>0</x:v>
      </x:c>
    </x:row>
    <x:row r="66">
      <x:c r="A66" s="7"/>
      <x:c r="B66" s="11"/>
      <x:c r="C66" s="7"/>
      <x:c r="D66" s="7"/>
      <x:c r="E66" s="7"/>
      <x:c r="F66" s="13"/>
      <x:c r="G66" s="13"/>
      <x:c r="H66" s="13"/>
      <x:c r="I66" s="7"/>
      <x:c r="J66" s="7"/>
      <x:c r="K66" s="9" t="str">
        <x:f>IF($B66="","",TEXT($B66,"yyyy-mm"))</x:f>
      </x:c>
      <x:c r="L66" s="9" t="str">
        <x:f>IF($E66="","",IFERROR(INDEX('계정과목'!$B$6:$B$56,MATCH($E66,'계정과목'!$A$6:$A$56,0)),"미등록"))</x:f>
      </x:c>
      <x:c r="M66" s="9" t="str">
        <x:f>IF($E66="","",IFERROR(INDEX('계정과목'!$C$6:$C$56,MATCH($E66,'계정과목'!$A$6:$A$56,0)),""))</x:f>
      </x:c>
      <x:c r="N66" s="9" t="str">
        <x:f>IF($E66="","",IFERROR(INDEX('계정과목'!$D$6:$D$56,MATCH($E66,'계정과목'!$A$6:$A$56,0)),""))</x:f>
      </x:c>
      <x:c r="O66" s="9" t="str">
        <x:f>IF($E66="","",IF(COUNTIF('계정과목'!$A$6:$A$56,$E66)=0,"미등록","정상"))</x:f>
      </x:c>
      <x:c r="P66" s="14" t="str">
        <x:f>IF($A66="","",ROUND(SUMIFS('전표'!$F$7:$F$306,'전표'!$A$7:$A$306,$A66)-SUMIFS('전표'!$G$7:$G$306,'전표'!$A$7:$A$306,$A66),0))</x:f>
      </x:c>
      <x:c r="Q66" s="14" t="n">
        <x:f>IF(ISNUMBER($P66),IF(ABS($P66)&gt;=1,1,0),0)</x:f>
        <x:v>0</x:v>
      </x:c>
    </x:row>
    <x:row r="67">
      <x:c r="A67" s="7"/>
      <x:c r="B67" s="11"/>
      <x:c r="C67" s="7"/>
      <x:c r="D67" s="7"/>
      <x:c r="E67" s="7"/>
      <x:c r="F67" s="13"/>
      <x:c r="G67" s="13"/>
      <x:c r="H67" s="13"/>
      <x:c r="I67" s="7"/>
      <x:c r="J67" s="7"/>
      <x:c r="K67" s="9" t="str">
        <x:f>IF($B67="","",TEXT($B67,"yyyy-mm"))</x:f>
      </x:c>
      <x:c r="L67" s="9" t="str">
        <x:f>IF($E67="","",IFERROR(INDEX('계정과목'!$B$6:$B$56,MATCH($E67,'계정과목'!$A$6:$A$56,0)),"미등록"))</x:f>
      </x:c>
      <x:c r="M67" s="9" t="str">
        <x:f>IF($E67="","",IFERROR(INDEX('계정과목'!$C$6:$C$56,MATCH($E67,'계정과목'!$A$6:$A$56,0)),""))</x:f>
      </x:c>
      <x:c r="N67" s="9" t="str">
        <x:f>IF($E67="","",IFERROR(INDEX('계정과목'!$D$6:$D$56,MATCH($E67,'계정과목'!$A$6:$A$56,0)),""))</x:f>
      </x:c>
      <x:c r="O67" s="9" t="str">
        <x:f>IF($E67="","",IF(COUNTIF('계정과목'!$A$6:$A$56,$E67)=0,"미등록","정상"))</x:f>
      </x:c>
      <x:c r="P67" s="14" t="str">
        <x:f>IF($A67="","",ROUND(SUMIFS('전표'!$F$7:$F$306,'전표'!$A$7:$A$306,$A67)-SUMIFS('전표'!$G$7:$G$306,'전표'!$A$7:$A$306,$A67),0))</x:f>
      </x:c>
      <x:c r="Q67" s="14" t="n">
        <x:f>IF(ISNUMBER($P67),IF(ABS($P67)&gt;=1,1,0),0)</x:f>
        <x:v>0</x:v>
      </x:c>
    </x:row>
    <x:row r="68">
      <x:c r="A68" s="7"/>
      <x:c r="B68" s="11"/>
      <x:c r="C68" s="7"/>
      <x:c r="D68" s="7"/>
      <x:c r="E68" s="7"/>
      <x:c r="F68" s="13"/>
      <x:c r="G68" s="13"/>
      <x:c r="H68" s="13"/>
      <x:c r="I68" s="7"/>
      <x:c r="J68" s="7"/>
      <x:c r="K68" s="9" t="str">
        <x:f>IF($B68="","",TEXT($B68,"yyyy-mm"))</x:f>
      </x:c>
      <x:c r="L68" s="9" t="str">
        <x:f>IF($E68="","",IFERROR(INDEX('계정과목'!$B$6:$B$56,MATCH($E68,'계정과목'!$A$6:$A$56,0)),"미등록"))</x:f>
      </x:c>
      <x:c r="M68" s="9" t="str">
        <x:f>IF($E68="","",IFERROR(INDEX('계정과목'!$C$6:$C$56,MATCH($E68,'계정과목'!$A$6:$A$56,0)),""))</x:f>
      </x:c>
      <x:c r="N68" s="9" t="str">
        <x:f>IF($E68="","",IFERROR(INDEX('계정과목'!$D$6:$D$56,MATCH($E68,'계정과목'!$A$6:$A$56,0)),""))</x:f>
      </x:c>
      <x:c r="O68" s="9" t="str">
        <x:f>IF($E68="","",IF(COUNTIF('계정과목'!$A$6:$A$56,$E68)=0,"미등록","정상"))</x:f>
      </x:c>
      <x:c r="P68" s="14" t="str">
        <x:f>IF($A68="","",ROUND(SUMIFS('전표'!$F$7:$F$306,'전표'!$A$7:$A$306,$A68)-SUMIFS('전표'!$G$7:$G$306,'전표'!$A$7:$A$306,$A68),0))</x:f>
      </x:c>
      <x:c r="Q68" s="14" t="n">
        <x:f>IF(ISNUMBER($P68),IF(ABS($P68)&gt;=1,1,0),0)</x:f>
        <x:v>0</x:v>
      </x:c>
    </x:row>
    <x:row r="69">
      <x:c r="A69" s="7"/>
      <x:c r="B69" s="11"/>
      <x:c r="C69" s="7"/>
      <x:c r="D69" s="7"/>
      <x:c r="E69" s="7"/>
      <x:c r="F69" s="13"/>
      <x:c r="G69" s="13"/>
      <x:c r="H69" s="13"/>
      <x:c r="I69" s="7"/>
      <x:c r="J69" s="7"/>
      <x:c r="K69" s="9" t="str">
        <x:f>IF($B69="","",TEXT($B69,"yyyy-mm"))</x:f>
      </x:c>
      <x:c r="L69" s="9" t="str">
        <x:f>IF($E69="","",IFERROR(INDEX('계정과목'!$B$6:$B$56,MATCH($E69,'계정과목'!$A$6:$A$56,0)),"미등록"))</x:f>
      </x:c>
      <x:c r="M69" s="9" t="str">
        <x:f>IF($E69="","",IFERROR(INDEX('계정과목'!$C$6:$C$56,MATCH($E69,'계정과목'!$A$6:$A$56,0)),""))</x:f>
      </x:c>
      <x:c r="N69" s="9" t="str">
        <x:f>IF($E69="","",IFERROR(INDEX('계정과목'!$D$6:$D$56,MATCH($E69,'계정과목'!$A$6:$A$56,0)),""))</x:f>
      </x:c>
      <x:c r="O69" s="9" t="str">
        <x:f>IF($E69="","",IF(COUNTIF('계정과목'!$A$6:$A$56,$E69)=0,"미등록","정상"))</x:f>
      </x:c>
      <x:c r="P69" s="14" t="str">
        <x:f>IF($A69="","",ROUND(SUMIFS('전표'!$F$7:$F$306,'전표'!$A$7:$A$306,$A69)-SUMIFS('전표'!$G$7:$G$306,'전표'!$A$7:$A$306,$A69),0))</x:f>
      </x:c>
      <x:c r="Q69" s="14" t="n">
        <x:f>IF(ISNUMBER($P69),IF(ABS($P69)&gt;=1,1,0),0)</x:f>
        <x:v>0</x:v>
      </x:c>
    </x:row>
    <x:row r="70">
      <x:c r="A70" s="7"/>
      <x:c r="B70" s="11"/>
      <x:c r="C70" s="7"/>
      <x:c r="D70" s="7"/>
      <x:c r="E70" s="7"/>
      <x:c r="F70" s="13"/>
      <x:c r="G70" s="13"/>
      <x:c r="H70" s="13"/>
      <x:c r="I70" s="7"/>
      <x:c r="J70" s="7"/>
      <x:c r="K70" s="9" t="str">
        <x:f>IF($B70="","",TEXT($B70,"yyyy-mm"))</x:f>
      </x:c>
      <x:c r="L70" s="9" t="str">
        <x:f>IF($E70="","",IFERROR(INDEX('계정과목'!$B$6:$B$56,MATCH($E70,'계정과목'!$A$6:$A$56,0)),"미등록"))</x:f>
      </x:c>
      <x:c r="M70" s="9" t="str">
        <x:f>IF($E70="","",IFERROR(INDEX('계정과목'!$C$6:$C$56,MATCH($E70,'계정과목'!$A$6:$A$56,0)),""))</x:f>
      </x:c>
      <x:c r="N70" s="9" t="str">
        <x:f>IF($E70="","",IFERROR(INDEX('계정과목'!$D$6:$D$56,MATCH($E70,'계정과목'!$A$6:$A$56,0)),""))</x:f>
      </x:c>
      <x:c r="O70" s="9" t="str">
        <x:f>IF($E70="","",IF(COUNTIF('계정과목'!$A$6:$A$56,$E70)=0,"미등록","정상"))</x:f>
      </x:c>
      <x:c r="P70" s="14" t="str">
        <x:f>IF($A70="","",ROUND(SUMIFS('전표'!$F$7:$F$306,'전표'!$A$7:$A$306,$A70)-SUMIFS('전표'!$G$7:$G$306,'전표'!$A$7:$A$306,$A70),0))</x:f>
      </x:c>
      <x:c r="Q70" s="14" t="n">
        <x:f>IF(ISNUMBER($P70),IF(ABS($P70)&gt;=1,1,0),0)</x:f>
        <x:v>0</x:v>
      </x:c>
    </x:row>
    <x:row r="71">
      <x:c r="A71" s="7"/>
      <x:c r="B71" s="11"/>
      <x:c r="C71" s="7"/>
      <x:c r="D71" s="7"/>
      <x:c r="E71" s="7"/>
      <x:c r="F71" s="13"/>
      <x:c r="G71" s="13"/>
      <x:c r="H71" s="13"/>
      <x:c r="I71" s="7"/>
      <x:c r="J71" s="7"/>
      <x:c r="K71" s="9" t="str">
        <x:f>IF($B71="","",TEXT($B71,"yyyy-mm"))</x:f>
      </x:c>
      <x:c r="L71" s="9" t="str">
        <x:f>IF($E71="","",IFERROR(INDEX('계정과목'!$B$6:$B$56,MATCH($E71,'계정과목'!$A$6:$A$56,0)),"미등록"))</x:f>
      </x:c>
      <x:c r="M71" s="9" t="str">
        <x:f>IF($E71="","",IFERROR(INDEX('계정과목'!$C$6:$C$56,MATCH($E71,'계정과목'!$A$6:$A$56,0)),""))</x:f>
      </x:c>
      <x:c r="N71" s="9" t="str">
        <x:f>IF($E71="","",IFERROR(INDEX('계정과목'!$D$6:$D$56,MATCH($E71,'계정과목'!$A$6:$A$56,0)),""))</x:f>
      </x:c>
      <x:c r="O71" s="9" t="str">
        <x:f>IF($E71="","",IF(COUNTIF('계정과목'!$A$6:$A$56,$E71)=0,"미등록","정상"))</x:f>
      </x:c>
      <x:c r="P71" s="14" t="str">
        <x:f>IF($A71="","",ROUND(SUMIFS('전표'!$F$7:$F$306,'전표'!$A$7:$A$306,$A71)-SUMIFS('전표'!$G$7:$G$306,'전표'!$A$7:$A$306,$A71),0))</x:f>
      </x:c>
      <x:c r="Q71" s="14" t="n">
        <x:f>IF(ISNUMBER($P71),IF(ABS($P71)&gt;=1,1,0),0)</x:f>
        <x:v>0</x:v>
      </x:c>
    </x:row>
    <x:row r="72">
      <x:c r="A72" s="7"/>
      <x:c r="B72" s="11"/>
      <x:c r="C72" s="7"/>
      <x:c r="D72" s="7"/>
      <x:c r="E72" s="7"/>
      <x:c r="F72" s="13"/>
      <x:c r="G72" s="13"/>
      <x:c r="H72" s="13"/>
      <x:c r="I72" s="7"/>
      <x:c r="J72" s="7"/>
      <x:c r="K72" s="9" t="str">
        <x:f>IF($B72="","",TEXT($B72,"yyyy-mm"))</x:f>
      </x:c>
      <x:c r="L72" s="9" t="str">
        <x:f>IF($E72="","",IFERROR(INDEX('계정과목'!$B$6:$B$56,MATCH($E72,'계정과목'!$A$6:$A$56,0)),"미등록"))</x:f>
      </x:c>
      <x:c r="M72" s="9" t="str">
        <x:f>IF($E72="","",IFERROR(INDEX('계정과목'!$C$6:$C$56,MATCH($E72,'계정과목'!$A$6:$A$56,0)),""))</x:f>
      </x:c>
      <x:c r="N72" s="9" t="str">
        <x:f>IF($E72="","",IFERROR(INDEX('계정과목'!$D$6:$D$56,MATCH($E72,'계정과목'!$A$6:$A$56,0)),""))</x:f>
      </x:c>
      <x:c r="O72" s="9" t="str">
        <x:f>IF($E72="","",IF(COUNTIF('계정과목'!$A$6:$A$56,$E72)=0,"미등록","정상"))</x:f>
      </x:c>
      <x:c r="P72" s="14" t="str">
        <x:f>IF($A72="","",ROUND(SUMIFS('전표'!$F$7:$F$306,'전표'!$A$7:$A$306,$A72)-SUMIFS('전표'!$G$7:$G$306,'전표'!$A$7:$A$306,$A72),0))</x:f>
      </x:c>
      <x:c r="Q72" s="14" t="n">
        <x:f>IF(ISNUMBER($P72),IF(ABS($P72)&gt;=1,1,0),0)</x:f>
        <x:v>0</x:v>
      </x:c>
    </x:row>
    <x:row r="73">
      <x:c r="A73" s="7"/>
      <x:c r="B73" s="11"/>
      <x:c r="C73" s="7"/>
      <x:c r="D73" s="7"/>
      <x:c r="E73" s="7"/>
      <x:c r="F73" s="13"/>
      <x:c r="G73" s="13"/>
      <x:c r="H73" s="13"/>
      <x:c r="I73" s="7"/>
      <x:c r="J73" s="7"/>
      <x:c r="K73" s="9" t="str">
        <x:f>IF($B73="","",TEXT($B73,"yyyy-mm"))</x:f>
      </x:c>
      <x:c r="L73" s="9" t="str">
        <x:f>IF($E73="","",IFERROR(INDEX('계정과목'!$B$6:$B$56,MATCH($E73,'계정과목'!$A$6:$A$56,0)),"미등록"))</x:f>
      </x:c>
      <x:c r="M73" s="9" t="str">
        <x:f>IF($E73="","",IFERROR(INDEX('계정과목'!$C$6:$C$56,MATCH($E73,'계정과목'!$A$6:$A$56,0)),""))</x:f>
      </x:c>
      <x:c r="N73" s="9" t="str">
        <x:f>IF($E73="","",IFERROR(INDEX('계정과목'!$D$6:$D$56,MATCH($E73,'계정과목'!$A$6:$A$56,0)),""))</x:f>
      </x:c>
      <x:c r="O73" s="9" t="str">
        <x:f>IF($E73="","",IF(COUNTIF('계정과목'!$A$6:$A$56,$E73)=0,"미등록","정상"))</x:f>
      </x:c>
      <x:c r="P73" s="14" t="str">
        <x:f>IF($A73="","",ROUND(SUMIFS('전표'!$F$7:$F$306,'전표'!$A$7:$A$306,$A73)-SUMIFS('전표'!$G$7:$G$306,'전표'!$A$7:$A$306,$A73),0))</x:f>
      </x:c>
      <x:c r="Q73" s="14" t="n">
        <x:f>IF(ISNUMBER($P73),IF(ABS($P73)&gt;=1,1,0),0)</x:f>
        <x:v>0</x:v>
      </x:c>
    </x:row>
    <x:row r="74">
      <x:c r="A74" s="7"/>
      <x:c r="B74" s="11"/>
      <x:c r="C74" s="7"/>
      <x:c r="D74" s="7"/>
      <x:c r="E74" s="7"/>
      <x:c r="F74" s="13"/>
      <x:c r="G74" s="13"/>
      <x:c r="H74" s="13"/>
      <x:c r="I74" s="7"/>
      <x:c r="J74" s="7"/>
      <x:c r="K74" s="9" t="str">
        <x:f>IF($B74="","",TEXT($B74,"yyyy-mm"))</x:f>
      </x:c>
      <x:c r="L74" s="9" t="str">
        <x:f>IF($E74="","",IFERROR(INDEX('계정과목'!$B$6:$B$56,MATCH($E74,'계정과목'!$A$6:$A$56,0)),"미등록"))</x:f>
      </x:c>
      <x:c r="M74" s="9" t="str">
        <x:f>IF($E74="","",IFERROR(INDEX('계정과목'!$C$6:$C$56,MATCH($E74,'계정과목'!$A$6:$A$56,0)),""))</x:f>
      </x:c>
      <x:c r="N74" s="9" t="str">
        <x:f>IF($E74="","",IFERROR(INDEX('계정과목'!$D$6:$D$56,MATCH($E74,'계정과목'!$A$6:$A$56,0)),""))</x:f>
      </x:c>
      <x:c r="O74" s="9" t="str">
        <x:f>IF($E74="","",IF(COUNTIF('계정과목'!$A$6:$A$56,$E74)=0,"미등록","정상"))</x:f>
      </x:c>
      <x:c r="P74" s="14" t="str">
        <x:f>IF($A74="","",ROUND(SUMIFS('전표'!$F$7:$F$306,'전표'!$A$7:$A$306,$A74)-SUMIFS('전표'!$G$7:$G$306,'전표'!$A$7:$A$306,$A74),0))</x:f>
      </x:c>
      <x:c r="Q74" s="14" t="n">
        <x:f>IF(ISNUMBER($P74),IF(ABS($P74)&gt;=1,1,0),0)</x:f>
        <x:v>0</x:v>
      </x:c>
    </x:row>
    <x:row r="75">
      <x:c r="A75" s="7"/>
      <x:c r="B75" s="11"/>
      <x:c r="C75" s="7"/>
      <x:c r="D75" s="7"/>
      <x:c r="E75" s="7"/>
      <x:c r="F75" s="13"/>
      <x:c r="G75" s="13"/>
      <x:c r="H75" s="13"/>
      <x:c r="I75" s="7"/>
      <x:c r="J75" s="7"/>
      <x:c r="K75" s="9" t="str">
        <x:f>IF($B75="","",TEXT($B75,"yyyy-mm"))</x:f>
      </x:c>
      <x:c r="L75" s="9" t="str">
        <x:f>IF($E75="","",IFERROR(INDEX('계정과목'!$B$6:$B$56,MATCH($E75,'계정과목'!$A$6:$A$56,0)),"미등록"))</x:f>
      </x:c>
      <x:c r="M75" s="9" t="str">
        <x:f>IF($E75="","",IFERROR(INDEX('계정과목'!$C$6:$C$56,MATCH($E75,'계정과목'!$A$6:$A$56,0)),""))</x:f>
      </x:c>
      <x:c r="N75" s="9" t="str">
        <x:f>IF($E75="","",IFERROR(INDEX('계정과목'!$D$6:$D$56,MATCH($E75,'계정과목'!$A$6:$A$56,0)),""))</x:f>
      </x:c>
      <x:c r="O75" s="9" t="str">
        <x:f>IF($E75="","",IF(COUNTIF('계정과목'!$A$6:$A$56,$E75)=0,"미등록","정상"))</x:f>
      </x:c>
      <x:c r="P75" s="14" t="str">
        <x:f>IF($A75="","",ROUND(SUMIFS('전표'!$F$7:$F$306,'전표'!$A$7:$A$306,$A75)-SUMIFS('전표'!$G$7:$G$306,'전표'!$A$7:$A$306,$A75),0))</x:f>
      </x:c>
      <x:c r="Q75" s="14" t="n">
        <x:f>IF(ISNUMBER($P75),IF(ABS($P75)&gt;=1,1,0),0)</x:f>
        <x:v>0</x:v>
      </x:c>
    </x:row>
    <x:row r="76">
      <x:c r="A76" s="7"/>
      <x:c r="B76" s="11"/>
      <x:c r="C76" s="7"/>
      <x:c r="D76" s="7"/>
      <x:c r="E76" s="7"/>
      <x:c r="F76" s="13"/>
      <x:c r="G76" s="13"/>
      <x:c r="H76" s="13"/>
      <x:c r="I76" s="7"/>
      <x:c r="J76" s="7"/>
      <x:c r="K76" s="9" t="str">
        <x:f>IF($B76="","",TEXT($B76,"yyyy-mm"))</x:f>
      </x:c>
      <x:c r="L76" s="9" t="str">
        <x:f>IF($E76="","",IFERROR(INDEX('계정과목'!$B$6:$B$56,MATCH($E76,'계정과목'!$A$6:$A$56,0)),"미등록"))</x:f>
      </x:c>
      <x:c r="M76" s="9" t="str">
        <x:f>IF($E76="","",IFERROR(INDEX('계정과목'!$C$6:$C$56,MATCH($E76,'계정과목'!$A$6:$A$56,0)),""))</x:f>
      </x:c>
      <x:c r="N76" s="9" t="str">
        <x:f>IF($E76="","",IFERROR(INDEX('계정과목'!$D$6:$D$56,MATCH($E76,'계정과목'!$A$6:$A$56,0)),""))</x:f>
      </x:c>
      <x:c r="O76" s="9" t="str">
        <x:f>IF($E76="","",IF(COUNTIF('계정과목'!$A$6:$A$56,$E76)=0,"미등록","정상"))</x:f>
      </x:c>
      <x:c r="P76" s="14" t="str">
        <x:f>IF($A76="","",ROUND(SUMIFS('전표'!$F$7:$F$306,'전표'!$A$7:$A$306,$A76)-SUMIFS('전표'!$G$7:$G$306,'전표'!$A$7:$A$306,$A76),0))</x:f>
      </x:c>
      <x:c r="Q76" s="14" t="n">
        <x:f>IF(ISNUMBER($P76),IF(ABS($P76)&gt;=1,1,0),0)</x:f>
        <x:v>0</x:v>
      </x:c>
    </x:row>
    <x:row r="77">
      <x:c r="A77" s="7"/>
      <x:c r="B77" s="11"/>
      <x:c r="C77" s="7"/>
      <x:c r="D77" s="7"/>
      <x:c r="E77" s="7"/>
      <x:c r="F77" s="13"/>
      <x:c r="G77" s="13"/>
      <x:c r="H77" s="13"/>
      <x:c r="I77" s="7"/>
      <x:c r="J77" s="7"/>
      <x:c r="K77" s="9" t="str">
        <x:f>IF($B77="","",TEXT($B77,"yyyy-mm"))</x:f>
      </x:c>
      <x:c r="L77" s="9" t="str">
        <x:f>IF($E77="","",IFERROR(INDEX('계정과목'!$B$6:$B$56,MATCH($E77,'계정과목'!$A$6:$A$56,0)),"미등록"))</x:f>
      </x:c>
      <x:c r="M77" s="9" t="str">
        <x:f>IF($E77="","",IFERROR(INDEX('계정과목'!$C$6:$C$56,MATCH($E77,'계정과목'!$A$6:$A$56,0)),""))</x:f>
      </x:c>
      <x:c r="N77" s="9" t="str">
        <x:f>IF($E77="","",IFERROR(INDEX('계정과목'!$D$6:$D$56,MATCH($E77,'계정과목'!$A$6:$A$56,0)),""))</x:f>
      </x:c>
      <x:c r="O77" s="9" t="str">
        <x:f>IF($E77="","",IF(COUNTIF('계정과목'!$A$6:$A$56,$E77)=0,"미등록","정상"))</x:f>
      </x:c>
      <x:c r="P77" s="14" t="str">
        <x:f>IF($A77="","",ROUND(SUMIFS('전표'!$F$7:$F$306,'전표'!$A$7:$A$306,$A77)-SUMIFS('전표'!$G$7:$G$306,'전표'!$A$7:$A$306,$A77),0))</x:f>
      </x:c>
      <x:c r="Q77" s="14" t="n">
        <x:f>IF(ISNUMBER($P77),IF(ABS($P77)&gt;=1,1,0),0)</x:f>
        <x:v>0</x:v>
      </x:c>
    </x:row>
    <x:row r="78">
      <x:c r="A78" s="7"/>
      <x:c r="B78" s="11"/>
      <x:c r="C78" s="7"/>
      <x:c r="D78" s="7"/>
      <x:c r="E78" s="7"/>
      <x:c r="F78" s="13"/>
      <x:c r="G78" s="13"/>
      <x:c r="H78" s="13"/>
      <x:c r="I78" s="7"/>
      <x:c r="J78" s="7"/>
      <x:c r="K78" s="9" t="str">
        <x:f>IF($B78="","",TEXT($B78,"yyyy-mm"))</x:f>
      </x:c>
      <x:c r="L78" s="9" t="str">
        <x:f>IF($E78="","",IFERROR(INDEX('계정과목'!$B$6:$B$56,MATCH($E78,'계정과목'!$A$6:$A$56,0)),"미등록"))</x:f>
      </x:c>
      <x:c r="M78" s="9" t="str">
        <x:f>IF($E78="","",IFERROR(INDEX('계정과목'!$C$6:$C$56,MATCH($E78,'계정과목'!$A$6:$A$56,0)),""))</x:f>
      </x:c>
      <x:c r="N78" s="9" t="str">
        <x:f>IF($E78="","",IFERROR(INDEX('계정과목'!$D$6:$D$56,MATCH($E78,'계정과목'!$A$6:$A$56,0)),""))</x:f>
      </x:c>
      <x:c r="O78" s="9" t="str">
        <x:f>IF($E78="","",IF(COUNTIF('계정과목'!$A$6:$A$56,$E78)=0,"미등록","정상"))</x:f>
      </x:c>
      <x:c r="P78" s="14" t="str">
        <x:f>IF($A78="","",ROUND(SUMIFS('전표'!$F$7:$F$306,'전표'!$A$7:$A$306,$A78)-SUMIFS('전표'!$G$7:$G$306,'전표'!$A$7:$A$306,$A78),0))</x:f>
      </x:c>
      <x:c r="Q78" s="14" t="n">
        <x:f>IF(ISNUMBER($P78),IF(ABS($P78)&gt;=1,1,0),0)</x:f>
        <x:v>0</x:v>
      </x:c>
    </x:row>
    <x:row r="79">
      <x:c r="A79" s="7"/>
      <x:c r="B79" s="11"/>
      <x:c r="C79" s="7"/>
      <x:c r="D79" s="7"/>
      <x:c r="E79" s="7"/>
      <x:c r="F79" s="13"/>
      <x:c r="G79" s="13"/>
      <x:c r="H79" s="13"/>
      <x:c r="I79" s="7"/>
      <x:c r="J79" s="7"/>
      <x:c r="K79" s="9" t="str">
        <x:f>IF($B79="","",TEXT($B79,"yyyy-mm"))</x:f>
      </x:c>
      <x:c r="L79" s="9" t="str">
        <x:f>IF($E79="","",IFERROR(INDEX('계정과목'!$B$6:$B$56,MATCH($E79,'계정과목'!$A$6:$A$56,0)),"미등록"))</x:f>
      </x:c>
      <x:c r="M79" s="9" t="str">
        <x:f>IF($E79="","",IFERROR(INDEX('계정과목'!$C$6:$C$56,MATCH($E79,'계정과목'!$A$6:$A$56,0)),""))</x:f>
      </x:c>
      <x:c r="N79" s="9" t="str">
        <x:f>IF($E79="","",IFERROR(INDEX('계정과목'!$D$6:$D$56,MATCH($E79,'계정과목'!$A$6:$A$56,0)),""))</x:f>
      </x:c>
      <x:c r="O79" s="9" t="str">
        <x:f>IF($E79="","",IF(COUNTIF('계정과목'!$A$6:$A$56,$E79)=0,"미등록","정상"))</x:f>
      </x:c>
      <x:c r="P79" s="14" t="str">
        <x:f>IF($A79="","",ROUND(SUMIFS('전표'!$F$7:$F$306,'전표'!$A$7:$A$306,$A79)-SUMIFS('전표'!$G$7:$G$306,'전표'!$A$7:$A$306,$A79),0))</x:f>
      </x:c>
      <x:c r="Q79" s="14" t="n">
        <x:f>IF(ISNUMBER($P79),IF(ABS($P79)&gt;=1,1,0),0)</x:f>
        <x:v>0</x:v>
      </x:c>
    </x:row>
    <x:row r="80">
      <x:c r="A80" s="7"/>
      <x:c r="B80" s="11"/>
      <x:c r="C80" s="7"/>
      <x:c r="D80" s="7"/>
      <x:c r="E80" s="7"/>
      <x:c r="F80" s="13"/>
      <x:c r="G80" s="13"/>
      <x:c r="H80" s="13"/>
      <x:c r="I80" s="7"/>
      <x:c r="J80" s="7"/>
      <x:c r="K80" s="9" t="str">
        <x:f>IF($B80="","",TEXT($B80,"yyyy-mm"))</x:f>
      </x:c>
      <x:c r="L80" s="9" t="str">
        <x:f>IF($E80="","",IFERROR(INDEX('계정과목'!$B$6:$B$56,MATCH($E80,'계정과목'!$A$6:$A$56,0)),"미등록"))</x:f>
      </x:c>
      <x:c r="M80" s="9" t="str">
        <x:f>IF($E80="","",IFERROR(INDEX('계정과목'!$C$6:$C$56,MATCH($E80,'계정과목'!$A$6:$A$56,0)),""))</x:f>
      </x:c>
      <x:c r="N80" s="9" t="str">
        <x:f>IF($E80="","",IFERROR(INDEX('계정과목'!$D$6:$D$56,MATCH($E80,'계정과목'!$A$6:$A$56,0)),""))</x:f>
      </x:c>
      <x:c r="O80" s="9" t="str">
        <x:f>IF($E80="","",IF(COUNTIF('계정과목'!$A$6:$A$56,$E80)=0,"미등록","정상"))</x:f>
      </x:c>
      <x:c r="P80" s="14" t="str">
        <x:f>IF($A80="","",ROUND(SUMIFS('전표'!$F$7:$F$306,'전표'!$A$7:$A$306,$A80)-SUMIFS('전표'!$G$7:$G$306,'전표'!$A$7:$A$306,$A80),0))</x:f>
      </x:c>
      <x:c r="Q80" s="14" t="n">
        <x:f>IF(ISNUMBER($P80),IF(ABS($P80)&gt;=1,1,0),0)</x:f>
        <x:v>0</x:v>
      </x:c>
    </x:row>
    <x:row r="81">
      <x:c r="A81" s="7"/>
      <x:c r="B81" s="11"/>
      <x:c r="C81" s="7"/>
      <x:c r="D81" s="7"/>
      <x:c r="E81" s="7"/>
      <x:c r="F81" s="13"/>
      <x:c r="G81" s="13"/>
      <x:c r="H81" s="13"/>
      <x:c r="I81" s="7"/>
      <x:c r="J81" s="7"/>
      <x:c r="K81" s="9" t="str">
        <x:f>IF($B81="","",TEXT($B81,"yyyy-mm"))</x:f>
      </x:c>
      <x:c r="L81" s="9" t="str">
        <x:f>IF($E81="","",IFERROR(INDEX('계정과목'!$B$6:$B$56,MATCH($E81,'계정과목'!$A$6:$A$56,0)),"미등록"))</x:f>
      </x:c>
      <x:c r="M81" s="9" t="str">
        <x:f>IF($E81="","",IFERROR(INDEX('계정과목'!$C$6:$C$56,MATCH($E81,'계정과목'!$A$6:$A$56,0)),""))</x:f>
      </x:c>
      <x:c r="N81" s="9" t="str">
        <x:f>IF($E81="","",IFERROR(INDEX('계정과목'!$D$6:$D$56,MATCH($E81,'계정과목'!$A$6:$A$56,0)),""))</x:f>
      </x:c>
      <x:c r="O81" s="9" t="str">
        <x:f>IF($E81="","",IF(COUNTIF('계정과목'!$A$6:$A$56,$E81)=0,"미등록","정상"))</x:f>
      </x:c>
      <x:c r="P81" s="14" t="str">
        <x:f>IF($A81="","",ROUND(SUMIFS('전표'!$F$7:$F$306,'전표'!$A$7:$A$306,$A81)-SUMIFS('전표'!$G$7:$G$306,'전표'!$A$7:$A$306,$A81),0))</x:f>
      </x:c>
      <x:c r="Q81" s="14" t="n">
        <x:f>IF(ISNUMBER($P81),IF(ABS($P81)&gt;=1,1,0),0)</x:f>
        <x:v>0</x:v>
      </x:c>
    </x:row>
    <x:row r="82">
      <x:c r="A82" s="7"/>
      <x:c r="B82" s="11"/>
      <x:c r="C82" s="7"/>
      <x:c r="D82" s="7"/>
      <x:c r="E82" s="7"/>
      <x:c r="F82" s="13"/>
      <x:c r="G82" s="13"/>
      <x:c r="H82" s="13"/>
      <x:c r="I82" s="7"/>
      <x:c r="J82" s="7"/>
      <x:c r="K82" s="9" t="str">
        <x:f>IF($B82="","",TEXT($B82,"yyyy-mm"))</x:f>
      </x:c>
      <x:c r="L82" s="9" t="str">
        <x:f>IF($E82="","",IFERROR(INDEX('계정과목'!$B$6:$B$56,MATCH($E82,'계정과목'!$A$6:$A$56,0)),"미등록"))</x:f>
      </x:c>
      <x:c r="M82" s="9" t="str">
        <x:f>IF($E82="","",IFERROR(INDEX('계정과목'!$C$6:$C$56,MATCH($E82,'계정과목'!$A$6:$A$56,0)),""))</x:f>
      </x:c>
      <x:c r="N82" s="9" t="str">
        <x:f>IF($E82="","",IFERROR(INDEX('계정과목'!$D$6:$D$56,MATCH($E82,'계정과목'!$A$6:$A$56,0)),""))</x:f>
      </x:c>
      <x:c r="O82" s="9" t="str">
        <x:f>IF($E82="","",IF(COUNTIF('계정과목'!$A$6:$A$56,$E82)=0,"미등록","정상"))</x:f>
      </x:c>
      <x:c r="P82" s="14" t="str">
        <x:f>IF($A82="","",ROUND(SUMIFS('전표'!$F$7:$F$306,'전표'!$A$7:$A$306,$A82)-SUMIFS('전표'!$G$7:$G$306,'전표'!$A$7:$A$306,$A82),0))</x:f>
      </x:c>
      <x:c r="Q82" s="14" t="n">
        <x:f>IF(ISNUMBER($P82),IF(ABS($P82)&gt;=1,1,0),0)</x:f>
        <x:v>0</x:v>
      </x:c>
    </x:row>
    <x:row r="83">
      <x:c r="A83" s="7"/>
      <x:c r="B83" s="11"/>
      <x:c r="C83" s="7"/>
      <x:c r="D83" s="7"/>
      <x:c r="E83" s="7"/>
      <x:c r="F83" s="13"/>
      <x:c r="G83" s="13"/>
      <x:c r="H83" s="13"/>
      <x:c r="I83" s="7"/>
      <x:c r="J83" s="7"/>
      <x:c r="K83" s="9" t="str">
        <x:f>IF($B83="","",TEXT($B83,"yyyy-mm"))</x:f>
      </x:c>
      <x:c r="L83" s="9" t="str">
        <x:f>IF($E83="","",IFERROR(INDEX('계정과목'!$B$6:$B$56,MATCH($E83,'계정과목'!$A$6:$A$56,0)),"미등록"))</x:f>
      </x:c>
      <x:c r="M83" s="9" t="str">
        <x:f>IF($E83="","",IFERROR(INDEX('계정과목'!$C$6:$C$56,MATCH($E83,'계정과목'!$A$6:$A$56,0)),""))</x:f>
      </x:c>
      <x:c r="N83" s="9" t="str">
        <x:f>IF($E83="","",IFERROR(INDEX('계정과목'!$D$6:$D$56,MATCH($E83,'계정과목'!$A$6:$A$56,0)),""))</x:f>
      </x:c>
      <x:c r="O83" s="9" t="str">
        <x:f>IF($E83="","",IF(COUNTIF('계정과목'!$A$6:$A$56,$E83)=0,"미등록","정상"))</x:f>
      </x:c>
      <x:c r="P83" s="14" t="str">
        <x:f>IF($A83="","",ROUND(SUMIFS('전표'!$F$7:$F$306,'전표'!$A$7:$A$306,$A83)-SUMIFS('전표'!$G$7:$G$306,'전표'!$A$7:$A$306,$A83),0))</x:f>
      </x:c>
      <x:c r="Q83" s="14" t="n">
        <x:f>IF(ISNUMBER($P83),IF(ABS($P83)&gt;=1,1,0),0)</x:f>
        <x:v>0</x:v>
      </x:c>
    </x:row>
    <x:row r="84">
      <x:c r="A84" s="7"/>
      <x:c r="B84" s="11"/>
      <x:c r="C84" s="7"/>
      <x:c r="D84" s="7"/>
      <x:c r="E84" s="7"/>
      <x:c r="F84" s="13"/>
      <x:c r="G84" s="13"/>
      <x:c r="H84" s="13"/>
      <x:c r="I84" s="7"/>
      <x:c r="J84" s="7"/>
      <x:c r="K84" s="9" t="str">
        <x:f>IF($B84="","",TEXT($B84,"yyyy-mm"))</x:f>
      </x:c>
      <x:c r="L84" s="9" t="str">
        <x:f>IF($E84="","",IFERROR(INDEX('계정과목'!$B$6:$B$56,MATCH($E84,'계정과목'!$A$6:$A$56,0)),"미등록"))</x:f>
      </x:c>
      <x:c r="M84" s="9" t="str">
        <x:f>IF($E84="","",IFERROR(INDEX('계정과목'!$C$6:$C$56,MATCH($E84,'계정과목'!$A$6:$A$56,0)),""))</x:f>
      </x:c>
      <x:c r="N84" s="9" t="str">
        <x:f>IF($E84="","",IFERROR(INDEX('계정과목'!$D$6:$D$56,MATCH($E84,'계정과목'!$A$6:$A$56,0)),""))</x:f>
      </x:c>
      <x:c r="O84" s="9" t="str">
        <x:f>IF($E84="","",IF(COUNTIF('계정과목'!$A$6:$A$56,$E84)=0,"미등록","정상"))</x:f>
      </x:c>
      <x:c r="P84" s="14" t="str">
        <x:f>IF($A84="","",ROUND(SUMIFS('전표'!$F$7:$F$306,'전표'!$A$7:$A$306,$A84)-SUMIFS('전표'!$G$7:$G$306,'전표'!$A$7:$A$306,$A84),0))</x:f>
      </x:c>
      <x:c r="Q84" s="14" t="n">
        <x:f>IF(ISNUMBER($P84),IF(ABS($P84)&gt;=1,1,0),0)</x:f>
        <x:v>0</x:v>
      </x:c>
    </x:row>
    <x:row r="85">
      <x:c r="A85" s="7"/>
      <x:c r="B85" s="11"/>
      <x:c r="C85" s="7"/>
      <x:c r="D85" s="7"/>
      <x:c r="E85" s="7"/>
      <x:c r="F85" s="13"/>
      <x:c r="G85" s="13"/>
      <x:c r="H85" s="13"/>
      <x:c r="I85" s="7"/>
      <x:c r="J85" s="7"/>
      <x:c r="K85" s="9" t="str">
        <x:f>IF($B85="","",TEXT($B85,"yyyy-mm"))</x:f>
      </x:c>
      <x:c r="L85" s="9" t="str">
        <x:f>IF($E85="","",IFERROR(INDEX('계정과목'!$B$6:$B$56,MATCH($E85,'계정과목'!$A$6:$A$56,0)),"미등록"))</x:f>
      </x:c>
      <x:c r="M85" s="9" t="str">
        <x:f>IF($E85="","",IFERROR(INDEX('계정과목'!$C$6:$C$56,MATCH($E85,'계정과목'!$A$6:$A$56,0)),""))</x:f>
      </x:c>
      <x:c r="N85" s="9" t="str">
        <x:f>IF($E85="","",IFERROR(INDEX('계정과목'!$D$6:$D$56,MATCH($E85,'계정과목'!$A$6:$A$56,0)),""))</x:f>
      </x:c>
      <x:c r="O85" s="9" t="str">
        <x:f>IF($E85="","",IF(COUNTIF('계정과목'!$A$6:$A$56,$E85)=0,"미등록","정상"))</x:f>
      </x:c>
      <x:c r="P85" s="14" t="str">
        <x:f>IF($A85="","",ROUND(SUMIFS('전표'!$F$7:$F$306,'전표'!$A$7:$A$306,$A85)-SUMIFS('전표'!$G$7:$G$306,'전표'!$A$7:$A$306,$A85),0))</x:f>
      </x:c>
      <x:c r="Q85" s="14" t="n">
        <x:f>IF(ISNUMBER($P85),IF(ABS($P85)&gt;=1,1,0),0)</x:f>
        <x:v>0</x:v>
      </x:c>
    </x:row>
    <x:row r="86">
      <x:c r="A86" s="7"/>
      <x:c r="B86" s="11"/>
      <x:c r="C86" s="7"/>
      <x:c r="D86" s="7"/>
      <x:c r="E86" s="7"/>
      <x:c r="F86" s="13"/>
      <x:c r="G86" s="13"/>
      <x:c r="H86" s="13"/>
      <x:c r="I86" s="7"/>
      <x:c r="J86" s="7"/>
      <x:c r="K86" s="9" t="str">
        <x:f>IF($B86="","",TEXT($B86,"yyyy-mm"))</x:f>
      </x:c>
      <x:c r="L86" s="9" t="str">
        <x:f>IF($E86="","",IFERROR(INDEX('계정과목'!$B$6:$B$56,MATCH($E86,'계정과목'!$A$6:$A$56,0)),"미등록"))</x:f>
      </x:c>
      <x:c r="M86" s="9" t="str">
        <x:f>IF($E86="","",IFERROR(INDEX('계정과목'!$C$6:$C$56,MATCH($E86,'계정과목'!$A$6:$A$56,0)),""))</x:f>
      </x:c>
      <x:c r="N86" s="9" t="str">
        <x:f>IF($E86="","",IFERROR(INDEX('계정과목'!$D$6:$D$56,MATCH($E86,'계정과목'!$A$6:$A$56,0)),""))</x:f>
      </x:c>
      <x:c r="O86" s="9" t="str">
        <x:f>IF($E86="","",IF(COUNTIF('계정과목'!$A$6:$A$56,$E86)=0,"미등록","정상"))</x:f>
      </x:c>
      <x:c r="P86" s="14" t="str">
        <x:f>IF($A86="","",ROUND(SUMIFS('전표'!$F$7:$F$306,'전표'!$A$7:$A$306,$A86)-SUMIFS('전표'!$G$7:$G$306,'전표'!$A$7:$A$306,$A86),0))</x:f>
      </x:c>
      <x:c r="Q86" s="14" t="n">
        <x:f>IF(ISNUMBER($P86),IF(ABS($P86)&gt;=1,1,0),0)</x:f>
        <x:v>0</x:v>
      </x:c>
    </x:row>
    <x:row r="87">
      <x:c r="A87" s="7"/>
      <x:c r="B87" s="11"/>
      <x:c r="C87" s="7"/>
      <x:c r="D87" s="7"/>
      <x:c r="E87" s="7"/>
      <x:c r="F87" s="13"/>
      <x:c r="G87" s="13"/>
      <x:c r="H87" s="13"/>
      <x:c r="I87" s="7"/>
      <x:c r="J87" s="7"/>
      <x:c r="K87" s="9" t="str">
        <x:f>IF($B87="","",TEXT($B87,"yyyy-mm"))</x:f>
      </x:c>
      <x:c r="L87" s="9" t="str">
        <x:f>IF($E87="","",IFERROR(INDEX('계정과목'!$B$6:$B$56,MATCH($E87,'계정과목'!$A$6:$A$56,0)),"미등록"))</x:f>
      </x:c>
      <x:c r="M87" s="9" t="str">
        <x:f>IF($E87="","",IFERROR(INDEX('계정과목'!$C$6:$C$56,MATCH($E87,'계정과목'!$A$6:$A$56,0)),""))</x:f>
      </x:c>
      <x:c r="N87" s="9" t="str">
        <x:f>IF($E87="","",IFERROR(INDEX('계정과목'!$D$6:$D$56,MATCH($E87,'계정과목'!$A$6:$A$56,0)),""))</x:f>
      </x:c>
      <x:c r="O87" s="9" t="str">
        <x:f>IF($E87="","",IF(COUNTIF('계정과목'!$A$6:$A$56,$E87)=0,"미등록","정상"))</x:f>
      </x:c>
      <x:c r="P87" s="14" t="str">
        <x:f>IF($A87="","",ROUND(SUMIFS('전표'!$F$7:$F$306,'전표'!$A$7:$A$306,$A87)-SUMIFS('전표'!$G$7:$G$306,'전표'!$A$7:$A$306,$A87),0))</x:f>
      </x:c>
      <x:c r="Q87" s="14" t="n">
        <x:f>IF(ISNUMBER($P87),IF(ABS($P87)&gt;=1,1,0),0)</x:f>
        <x:v>0</x:v>
      </x:c>
    </x:row>
    <x:row r="88">
      <x:c r="A88" s="7"/>
      <x:c r="B88" s="11"/>
      <x:c r="C88" s="7"/>
      <x:c r="D88" s="7"/>
      <x:c r="E88" s="7"/>
      <x:c r="F88" s="13"/>
      <x:c r="G88" s="13"/>
      <x:c r="H88" s="13"/>
      <x:c r="I88" s="7"/>
      <x:c r="J88" s="7"/>
      <x:c r="K88" s="9" t="str">
        <x:f>IF($B88="","",TEXT($B88,"yyyy-mm"))</x:f>
      </x:c>
      <x:c r="L88" s="9" t="str">
        <x:f>IF($E88="","",IFERROR(INDEX('계정과목'!$B$6:$B$56,MATCH($E88,'계정과목'!$A$6:$A$56,0)),"미등록"))</x:f>
      </x:c>
      <x:c r="M88" s="9" t="str">
        <x:f>IF($E88="","",IFERROR(INDEX('계정과목'!$C$6:$C$56,MATCH($E88,'계정과목'!$A$6:$A$56,0)),""))</x:f>
      </x:c>
      <x:c r="N88" s="9" t="str">
        <x:f>IF($E88="","",IFERROR(INDEX('계정과목'!$D$6:$D$56,MATCH($E88,'계정과목'!$A$6:$A$56,0)),""))</x:f>
      </x:c>
      <x:c r="O88" s="9" t="str">
        <x:f>IF($E88="","",IF(COUNTIF('계정과목'!$A$6:$A$56,$E88)=0,"미등록","정상"))</x:f>
      </x:c>
      <x:c r="P88" s="14" t="str">
        <x:f>IF($A88="","",ROUND(SUMIFS('전표'!$F$7:$F$306,'전표'!$A$7:$A$306,$A88)-SUMIFS('전표'!$G$7:$G$306,'전표'!$A$7:$A$306,$A88),0))</x:f>
      </x:c>
      <x:c r="Q88" s="14" t="n">
        <x:f>IF(ISNUMBER($P88),IF(ABS($P88)&gt;=1,1,0),0)</x:f>
        <x:v>0</x:v>
      </x:c>
    </x:row>
    <x:row r="89">
      <x:c r="A89" s="7"/>
      <x:c r="B89" s="11"/>
      <x:c r="C89" s="7"/>
      <x:c r="D89" s="7"/>
      <x:c r="E89" s="7"/>
      <x:c r="F89" s="13"/>
      <x:c r="G89" s="13"/>
      <x:c r="H89" s="13"/>
      <x:c r="I89" s="7"/>
      <x:c r="J89" s="7"/>
      <x:c r="K89" s="9" t="str">
        <x:f>IF($B89="","",TEXT($B89,"yyyy-mm"))</x:f>
      </x:c>
      <x:c r="L89" s="9" t="str">
        <x:f>IF($E89="","",IFERROR(INDEX('계정과목'!$B$6:$B$56,MATCH($E89,'계정과목'!$A$6:$A$56,0)),"미등록"))</x:f>
      </x:c>
      <x:c r="M89" s="9" t="str">
        <x:f>IF($E89="","",IFERROR(INDEX('계정과목'!$C$6:$C$56,MATCH($E89,'계정과목'!$A$6:$A$56,0)),""))</x:f>
      </x:c>
      <x:c r="N89" s="9" t="str">
        <x:f>IF($E89="","",IFERROR(INDEX('계정과목'!$D$6:$D$56,MATCH($E89,'계정과목'!$A$6:$A$56,0)),""))</x:f>
      </x:c>
      <x:c r="O89" s="9" t="str">
        <x:f>IF($E89="","",IF(COUNTIF('계정과목'!$A$6:$A$56,$E89)=0,"미등록","정상"))</x:f>
      </x:c>
      <x:c r="P89" s="14" t="str">
        <x:f>IF($A89="","",ROUND(SUMIFS('전표'!$F$7:$F$306,'전표'!$A$7:$A$306,$A89)-SUMIFS('전표'!$G$7:$G$306,'전표'!$A$7:$A$306,$A89),0))</x:f>
      </x:c>
      <x:c r="Q89" s="14" t="n">
        <x:f>IF(ISNUMBER($P89),IF(ABS($P89)&gt;=1,1,0),0)</x:f>
        <x:v>0</x:v>
      </x:c>
    </x:row>
    <x:row r="90">
      <x:c r="A90" s="7"/>
      <x:c r="B90" s="11"/>
      <x:c r="C90" s="7"/>
      <x:c r="D90" s="7"/>
      <x:c r="E90" s="7"/>
      <x:c r="F90" s="13"/>
      <x:c r="G90" s="13"/>
      <x:c r="H90" s="13"/>
      <x:c r="I90" s="7"/>
      <x:c r="J90" s="7"/>
      <x:c r="K90" s="9" t="str">
        <x:f>IF($B90="","",TEXT($B90,"yyyy-mm"))</x:f>
      </x:c>
      <x:c r="L90" s="9" t="str">
        <x:f>IF($E90="","",IFERROR(INDEX('계정과목'!$B$6:$B$56,MATCH($E90,'계정과목'!$A$6:$A$56,0)),"미등록"))</x:f>
      </x:c>
      <x:c r="M90" s="9" t="str">
        <x:f>IF($E90="","",IFERROR(INDEX('계정과목'!$C$6:$C$56,MATCH($E90,'계정과목'!$A$6:$A$56,0)),""))</x:f>
      </x:c>
      <x:c r="N90" s="9" t="str">
        <x:f>IF($E90="","",IFERROR(INDEX('계정과목'!$D$6:$D$56,MATCH($E90,'계정과목'!$A$6:$A$56,0)),""))</x:f>
      </x:c>
      <x:c r="O90" s="9" t="str">
        <x:f>IF($E90="","",IF(COUNTIF('계정과목'!$A$6:$A$56,$E90)=0,"미등록","정상"))</x:f>
      </x:c>
      <x:c r="P90" s="14" t="str">
        <x:f>IF($A90="","",ROUND(SUMIFS('전표'!$F$7:$F$306,'전표'!$A$7:$A$306,$A90)-SUMIFS('전표'!$G$7:$G$306,'전표'!$A$7:$A$306,$A90),0))</x:f>
      </x:c>
      <x:c r="Q90" s="14" t="n">
        <x:f>IF(ISNUMBER($P90),IF(ABS($P90)&gt;=1,1,0),0)</x:f>
        <x:v>0</x:v>
      </x:c>
    </x:row>
    <x:row r="91">
      <x:c r="A91" s="7"/>
      <x:c r="B91" s="11"/>
      <x:c r="C91" s="7"/>
      <x:c r="D91" s="7"/>
      <x:c r="E91" s="7"/>
      <x:c r="F91" s="13"/>
      <x:c r="G91" s="13"/>
      <x:c r="H91" s="13"/>
      <x:c r="I91" s="7"/>
      <x:c r="J91" s="7"/>
      <x:c r="K91" s="9" t="str">
        <x:f>IF($B91="","",TEXT($B91,"yyyy-mm"))</x:f>
      </x:c>
      <x:c r="L91" s="9" t="str">
        <x:f>IF($E91="","",IFERROR(INDEX('계정과목'!$B$6:$B$56,MATCH($E91,'계정과목'!$A$6:$A$56,0)),"미등록"))</x:f>
      </x:c>
      <x:c r="M91" s="9" t="str">
        <x:f>IF($E91="","",IFERROR(INDEX('계정과목'!$C$6:$C$56,MATCH($E91,'계정과목'!$A$6:$A$56,0)),""))</x:f>
      </x:c>
      <x:c r="N91" s="9" t="str">
        <x:f>IF($E91="","",IFERROR(INDEX('계정과목'!$D$6:$D$56,MATCH($E91,'계정과목'!$A$6:$A$56,0)),""))</x:f>
      </x:c>
      <x:c r="O91" s="9" t="str">
        <x:f>IF($E91="","",IF(COUNTIF('계정과목'!$A$6:$A$56,$E91)=0,"미등록","정상"))</x:f>
      </x:c>
      <x:c r="P91" s="14" t="str">
        <x:f>IF($A91="","",ROUND(SUMIFS('전표'!$F$7:$F$306,'전표'!$A$7:$A$306,$A91)-SUMIFS('전표'!$G$7:$G$306,'전표'!$A$7:$A$306,$A91),0))</x:f>
      </x:c>
      <x:c r="Q91" s="14" t="n">
        <x:f>IF(ISNUMBER($P91),IF(ABS($P91)&gt;=1,1,0),0)</x:f>
        <x:v>0</x:v>
      </x:c>
    </x:row>
    <x:row r="92">
      <x:c r="A92" s="7"/>
      <x:c r="B92" s="11"/>
      <x:c r="C92" s="7"/>
      <x:c r="D92" s="7"/>
      <x:c r="E92" s="7"/>
      <x:c r="F92" s="13"/>
      <x:c r="G92" s="13"/>
      <x:c r="H92" s="13"/>
      <x:c r="I92" s="7"/>
      <x:c r="J92" s="7"/>
      <x:c r="K92" s="9" t="str">
        <x:f>IF($B92="","",TEXT($B92,"yyyy-mm"))</x:f>
      </x:c>
      <x:c r="L92" s="9" t="str">
        <x:f>IF($E92="","",IFERROR(INDEX('계정과목'!$B$6:$B$56,MATCH($E92,'계정과목'!$A$6:$A$56,0)),"미등록"))</x:f>
      </x:c>
      <x:c r="M92" s="9" t="str">
        <x:f>IF($E92="","",IFERROR(INDEX('계정과목'!$C$6:$C$56,MATCH($E92,'계정과목'!$A$6:$A$56,0)),""))</x:f>
      </x:c>
      <x:c r="N92" s="9" t="str">
        <x:f>IF($E92="","",IFERROR(INDEX('계정과목'!$D$6:$D$56,MATCH($E92,'계정과목'!$A$6:$A$56,0)),""))</x:f>
      </x:c>
      <x:c r="O92" s="9" t="str">
        <x:f>IF($E92="","",IF(COUNTIF('계정과목'!$A$6:$A$56,$E92)=0,"미등록","정상"))</x:f>
      </x:c>
      <x:c r="P92" s="14" t="str">
        <x:f>IF($A92="","",ROUND(SUMIFS('전표'!$F$7:$F$306,'전표'!$A$7:$A$306,$A92)-SUMIFS('전표'!$G$7:$G$306,'전표'!$A$7:$A$306,$A92),0))</x:f>
      </x:c>
      <x:c r="Q92" s="14" t="n">
        <x:f>IF(ISNUMBER($P92),IF(ABS($P92)&gt;=1,1,0),0)</x:f>
        <x:v>0</x:v>
      </x:c>
    </x:row>
    <x:row r="93">
      <x:c r="A93" s="7"/>
      <x:c r="B93" s="11"/>
      <x:c r="C93" s="7"/>
      <x:c r="D93" s="7"/>
      <x:c r="E93" s="7"/>
      <x:c r="F93" s="13"/>
      <x:c r="G93" s="13"/>
      <x:c r="H93" s="13"/>
      <x:c r="I93" s="7"/>
      <x:c r="J93" s="7"/>
      <x:c r="K93" s="9" t="str">
        <x:f>IF($B93="","",TEXT($B93,"yyyy-mm"))</x:f>
      </x:c>
      <x:c r="L93" s="9" t="str">
        <x:f>IF($E93="","",IFERROR(INDEX('계정과목'!$B$6:$B$56,MATCH($E93,'계정과목'!$A$6:$A$56,0)),"미등록"))</x:f>
      </x:c>
      <x:c r="M93" s="9" t="str">
        <x:f>IF($E93="","",IFERROR(INDEX('계정과목'!$C$6:$C$56,MATCH($E93,'계정과목'!$A$6:$A$56,0)),""))</x:f>
      </x:c>
      <x:c r="N93" s="9" t="str">
        <x:f>IF($E93="","",IFERROR(INDEX('계정과목'!$D$6:$D$56,MATCH($E93,'계정과목'!$A$6:$A$56,0)),""))</x:f>
      </x:c>
      <x:c r="O93" s="9" t="str">
        <x:f>IF($E93="","",IF(COUNTIF('계정과목'!$A$6:$A$56,$E93)=0,"미등록","정상"))</x:f>
      </x:c>
      <x:c r="P93" s="14" t="str">
        <x:f>IF($A93="","",ROUND(SUMIFS('전표'!$F$7:$F$306,'전표'!$A$7:$A$306,$A93)-SUMIFS('전표'!$G$7:$G$306,'전표'!$A$7:$A$306,$A93),0))</x:f>
      </x:c>
      <x:c r="Q93" s="14" t="n">
        <x:f>IF(ISNUMBER($P93),IF(ABS($P93)&gt;=1,1,0),0)</x:f>
        <x:v>0</x:v>
      </x:c>
    </x:row>
    <x:row r="94">
      <x:c r="A94" s="7"/>
      <x:c r="B94" s="11"/>
      <x:c r="C94" s="7"/>
      <x:c r="D94" s="7"/>
      <x:c r="E94" s="7"/>
      <x:c r="F94" s="13"/>
      <x:c r="G94" s="13"/>
      <x:c r="H94" s="13"/>
      <x:c r="I94" s="7"/>
      <x:c r="J94" s="7"/>
      <x:c r="K94" s="9" t="str">
        <x:f>IF($B94="","",TEXT($B94,"yyyy-mm"))</x:f>
      </x:c>
      <x:c r="L94" s="9" t="str">
        <x:f>IF($E94="","",IFERROR(INDEX('계정과목'!$B$6:$B$56,MATCH($E94,'계정과목'!$A$6:$A$56,0)),"미등록"))</x:f>
      </x:c>
      <x:c r="M94" s="9" t="str">
        <x:f>IF($E94="","",IFERROR(INDEX('계정과목'!$C$6:$C$56,MATCH($E94,'계정과목'!$A$6:$A$56,0)),""))</x:f>
      </x:c>
      <x:c r="N94" s="9" t="str">
        <x:f>IF($E94="","",IFERROR(INDEX('계정과목'!$D$6:$D$56,MATCH($E94,'계정과목'!$A$6:$A$56,0)),""))</x:f>
      </x:c>
      <x:c r="O94" s="9" t="str">
        <x:f>IF($E94="","",IF(COUNTIF('계정과목'!$A$6:$A$56,$E94)=0,"미등록","정상"))</x:f>
      </x:c>
      <x:c r="P94" s="14" t="str">
        <x:f>IF($A94="","",ROUND(SUMIFS('전표'!$F$7:$F$306,'전표'!$A$7:$A$306,$A94)-SUMIFS('전표'!$G$7:$G$306,'전표'!$A$7:$A$306,$A94),0))</x:f>
      </x:c>
      <x:c r="Q94" s="14" t="n">
        <x:f>IF(ISNUMBER($P94),IF(ABS($P94)&gt;=1,1,0),0)</x:f>
        <x:v>0</x:v>
      </x:c>
    </x:row>
    <x:row r="95">
      <x:c r="A95" s="7"/>
      <x:c r="B95" s="11"/>
      <x:c r="C95" s="7"/>
      <x:c r="D95" s="7"/>
      <x:c r="E95" s="7"/>
      <x:c r="F95" s="13"/>
      <x:c r="G95" s="13"/>
      <x:c r="H95" s="13"/>
      <x:c r="I95" s="7"/>
      <x:c r="J95" s="7"/>
      <x:c r="K95" s="9" t="str">
        <x:f>IF($B95="","",TEXT($B95,"yyyy-mm"))</x:f>
      </x:c>
      <x:c r="L95" s="9" t="str">
        <x:f>IF($E95="","",IFERROR(INDEX('계정과목'!$B$6:$B$56,MATCH($E95,'계정과목'!$A$6:$A$56,0)),"미등록"))</x:f>
      </x:c>
      <x:c r="M95" s="9" t="str">
        <x:f>IF($E95="","",IFERROR(INDEX('계정과목'!$C$6:$C$56,MATCH($E95,'계정과목'!$A$6:$A$56,0)),""))</x:f>
      </x:c>
      <x:c r="N95" s="9" t="str">
        <x:f>IF($E95="","",IFERROR(INDEX('계정과목'!$D$6:$D$56,MATCH($E95,'계정과목'!$A$6:$A$56,0)),""))</x:f>
      </x:c>
      <x:c r="O95" s="9" t="str">
        <x:f>IF($E95="","",IF(COUNTIF('계정과목'!$A$6:$A$56,$E95)=0,"미등록","정상"))</x:f>
      </x:c>
      <x:c r="P95" s="14" t="str">
        <x:f>IF($A95="","",ROUND(SUMIFS('전표'!$F$7:$F$306,'전표'!$A$7:$A$306,$A95)-SUMIFS('전표'!$G$7:$G$306,'전표'!$A$7:$A$306,$A95),0))</x:f>
      </x:c>
      <x:c r="Q95" s="14" t="n">
        <x:f>IF(ISNUMBER($P95),IF(ABS($P95)&gt;=1,1,0),0)</x:f>
        <x:v>0</x:v>
      </x:c>
    </x:row>
    <x:row r="96">
      <x:c r="A96" s="7"/>
      <x:c r="B96" s="11"/>
      <x:c r="C96" s="7"/>
      <x:c r="D96" s="7"/>
      <x:c r="E96" s="7"/>
      <x:c r="F96" s="13"/>
      <x:c r="G96" s="13"/>
      <x:c r="H96" s="13"/>
      <x:c r="I96" s="7"/>
      <x:c r="J96" s="7"/>
      <x:c r="K96" s="9" t="str">
        <x:f>IF($B96="","",TEXT($B96,"yyyy-mm"))</x:f>
      </x:c>
      <x:c r="L96" s="9" t="str">
        <x:f>IF($E96="","",IFERROR(INDEX('계정과목'!$B$6:$B$56,MATCH($E96,'계정과목'!$A$6:$A$56,0)),"미등록"))</x:f>
      </x:c>
      <x:c r="M96" s="9" t="str">
        <x:f>IF($E96="","",IFERROR(INDEX('계정과목'!$C$6:$C$56,MATCH($E96,'계정과목'!$A$6:$A$56,0)),""))</x:f>
      </x:c>
      <x:c r="N96" s="9" t="str">
        <x:f>IF($E96="","",IFERROR(INDEX('계정과목'!$D$6:$D$56,MATCH($E96,'계정과목'!$A$6:$A$56,0)),""))</x:f>
      </x:c>
      <x:c r="O96" s="9" t="str">
        <x:f>IF($E96="","",IF(COUNTIF('계정과목'!$A$6:$A$56,$E96)=0,"미등록","정상"))</x:f>
      </x:c>
      <x:c r="P96" s="14" t="str">
        <x:f>IF($A96="","",ROUND(SUMIFS('전표'!$F$7:$F$306,'전표'!$A$7:$A$306,$A96)-SUMIFS('전표'!$G$7:$G$306,'전표'!$A$7:$A$306,$A96),0))</x:f>
      </x:c>
      <x:c r="Q96" s="14" t="n">
        <x:f>IF(ISNUMBER($P96),IF(ABS($P96)&gt;=1,1,0),0)</x:f>
        <x:v>0</x:v>
      </x:c>
    </x:row>
    <x:row r="97">
      <x:c r="A97" s="7"/>
      <x:c r="B97" s="11"/>
      <x:c r="C97" s="7"/>
      <x:c r="D97" s="7"/>
      <x:c r="E97" s="7"/>
      <x:c r="F97" s="13"/>
      <x:c r="G97" s="13"/>
      <x:c r="H97" s="13"/>
      <x:c r="I97" s="7"/>
      <x:c r="J97" s="7"/>
      <x:c r="K97" s="9" t="str">
        <x:f>IF($B97="","",TEXT($B97,"yyyy-mm"))</x:f>
      </x:c>
      <x:c r="L97" s="9" t="str">
        <x:f>IF($E97="","",IFERROR(INDEX('계정과목'!$B$6:$B$56,MATCH($E97,'계정과목'!$A$6:$A$56,0)),"미등록"))</x:f>
      </x:c>
      <x:c r="M97" s="9" t="str">
        <x:f>IF($E97="","",IFERROR(INDEX('계정과목'!$C$6:$C$56,MATCH($E97,'계정과목'!$A$6:$A$56,0)),""))</x:f>
      </x:c>
      <x:c r="N97" s="9" t="str">
        <x:f>IF($E97="","",IFERROR(INDEX('계정과목'!$D$6:$D$56,MATCH($E97,'계정과목'!$A$6:$A$56,0)),""))</x:f>
      </x:c>
      <x:c r="O97" s="9" t="str">
        <x:f>IF($E97="","",IF(COUNTIF('계정과목'!$A$6:$A$56,$E97)=0,"미등록","정상"))</x:f>
      </x:c>
      <x:c r="P97" s="14" t="str">
        <x:f>IF($A97="","",ROUND(SUMIFS('전표'!$F$7:$F$306,'전표'!$A$7:$A$306,$A97)-SUMIFS('전표'!$G$7:$G$306,'전표'!$A$7:$A$306,$A97),0))</x:f>
      </x:c>
      <x:c r="Q97" s="14" t="n">
        <x:f>IF(ISNUMBER($P97),IF(ABS($P97)&gt;=1,1,0),0)</x:f>
        <x:v>0</x:v>
      </x:c>
    </x:row>
    <x:row r="98">
      <x:c r="A98" s="7"/>
      <x:c r="B98" s="11"/>
      <x:c r="C98" s="7"/>
      <x:c r="D98" s="7"/>
      <x:c r="E98" s="7"/>
      <x:c r="F98" s="13"/>
      <x:c r="G98" s="13"/>
      <x:c r="H98" s="13"/>
      <x:c r="I98" s="7"/>
      <x:c r="J98" s="7"/>
      <x:c r="K98" s="9" t="str">
        <x:f>IF($B98="","",TEXT($B98,"yyyy-mm"))</x:f>
      </x:c>
      <x:c r="L98" s="9" t="str">
        <x:f>IF($E98="","",IFERROR(INDEX('계정과목'!$B$6:$B$56,MATCH($E98,'계정과목'!$A$6:$A$56,0)),"미등록"))</x:f>
      </x:c>
      <x:c r="M98" s="9" t="str">
        <x:f>IF($E98="","",IFERROR(INDEX('계정과목'!$C$6:$C$56,MATCH($E98,'계정과목'!$A$6:$A$56,0)),""))</x:f>
      </x:c>
      <x:c r="N98" s="9" t="str">
        <x:f>IF($E98="","",IFERROR(INDEX('계정과목'!$D$6:$D$56,MATCH($E98,'계정과목'!$A$6:$A$56,0)),""))</x:f>
      </x:c>
      <x:c r="O98" s="9" t="str">
        <x:f>IF($E98="","",IF(COUNTIF('계정과목'!$A$6:$A$56,$E98)=0,"미등록","정상"))</x:f>
      </x:c>
      <x:c r="P98" s="14" t="str">
        <x:f>IF($A98="","",ROUND(SUMIFS('전표'!$F$7:$F$306,'전표'!$A$7:$A$306,$A98)-SUMIFS('전표'!$G$7:$G$306,'전표'!$A$7:$A$306,$A98),0))</x:f>
      </x:c>
      <x:c r="Q98" s="14" t="n">
        <x:f>IF(ISNUMBER($P98),IF(ABS($P98)&gt;=1,1,0),0)</x:f>
        <x:v>0</x:v>
      </x:c>
    </x:row>
    <x:row r="99">
      <x:c r="A99" s="7"/>
      <x:c r="B99" s="11"/>
      <x:c r="C99" s="7"/>
      <x:c r="D99" s="7"/>
      <x:c r="E99" s="7"/>
      <x:c r="F99" s="13"/>
      <x:c r="G99" s="13"/>
      <x:c r="H99" s="13"/>
      <x:c r="I99" s="7"/>
      <x:c r="J99" s="7"/>
      <x:c r="K99" s="9" t="str">
        <x:f>IF($B99="","",TEXT($B99,"yyyy-mm"))</x:f>
      </x:c>
      <x:c r="L99" s="9" t="str">
        <x:f>IF($E99="","",IFERROR(INDEX('계정과목'!$B$6:$B$56,MATCH($E99,'계정과목'!$A$6:$A$56,0)),"미등록"))</x:f>
      </x:c>
      <x:c r="M99" s="9" t="str">
        <x:f>IF($E99="","",IFERROR(INDEX('계정과목'!$C$6:$C$56,MATCH($E99,'계정과목'!$A$6:$A$56,0)),""))</x:f>
      </x:c>
      <x:c r="N99" s="9" t="str">
        <x:f>IF($E99="","",IFERROR(INDEX('계정과목'!$D$6:$D$56,MATCH($E99,'계정과목'!$A$6:$A$56,0)),""))</x:f>
      </x:c>
      <x:c r="O99" s="9" t="str">
        <x:f>IF($E99="","",IF(COUNTIF('계정과목'!$A$6:$A$56,$E99)=0,"미등록","정상"))</x:f>
      </x:c>
      <x:c r="P99" s="14" t="str">
        <x:f>IF($A99="","",ROUND(SUMIFS('전표'!$F$7:$F$306,'전표'!$A$7:$A$306,$A99)-SUMIFS('전표'!$G$7:$G$306,'전표'!$A$7:$A$306,$A99),0))</x:f>
      </x:c>
      <x:c r="Q99" s="14" t="n">
        <x:f>IF(ISNUMBER($P99),IF(ABS($P99)&gt;=1,1,0),0)</x:f>
        <x:v>0</x:v>
      </x:c>
    </x:row>
    <x:row r="100">
      <x:c r="A100" s="7"/>
      <x:c r="B100" s="11"/>
      <x:c r="C100" s="7"/>
      <x:c r="D100" s="7"/>
      <x:c r="E100" s="7"/>
      <x:c r="F100" s="13"/>
      <x:c r="G100" s="13"/>
      <x:c r="H100" s="13"/>
      <x:c r="I100" s="7"/>
      <x:c r="J100" s="7"/>
      <x:c r="K100" s="9" t="str">
        <x:f>IF($B100="","",TEXT($B100,"yyyy-mm"))</x:f>
      </x:c>
      <x:c r="L100" s="9" t="str">
        <x:f>IF($E100="","",IFERROR(INDEX('계정과목'!$B$6:$B$56,MATCH($E100,'계정과목'!$A$6:$A$56,0)),"미등록"))</x:f>
      </x:c>
      <x:c r="M100" s="9" t="str">
        <x:f>IF($E100="","",IFERROR(INDEX('계정과목'!$C$6:$C$56,MATCH($E100,'계정과목'!$A$6:$A$56,0)),""))</x:f>
      </x:c>
      <x:c r="N100" s="9" t="str">
        <x:f>IF($E100="","",IFERROR(INDEX('계정과목'!$D$6:$D$56,MATCH($E100,'계정과목'!$A$6:$A$56,0)),""))</x:f>
      </x:c>
      <x:c r="O100" s="9" t="str">
        <x:f>IF($E100="","",IF(COUNTIF('계정과목'!$A$6:$A$56,$E100)=0,"미등록","정상"))</x:f>
      </x:c>
      <x:c r="P100" s="14" t="str">
        <x:f>IF($A100="","",ROUND(SUMIFS('전표'!$F$7:$F$306,'전표'!$A$7:$A$306,$A100)-SUMIFS('전표'!$G$7:$G$306,'전표'!$A$7:$A$306,$A100),0))</x:f>
      </x:c>
      <x:c r="Q100" s="14" t="n">
        <x:f>IF(ISNUMBER($P100),IF(ABS($P100)&gt;=1,1,0),0)</x:f>
        <x:v>0</x:v>
      </x:c>
    </x:row>
    <x:row r="101">
      <x:c r="A101" s="7"/>
      <x:c r="B101" s="11"/>
      <x:c r="C101" s="7"/>
      <x:c r="D101" s="7"/>
      <x:c r="E101" s="7"/>
      <x:c r="F101" s="13"/>
      <x:c r="G101" s="13"/>
      <x:c r="H101" s="13"/>
      <x:c r="I101" s="7"/>
      <x:c r="J101" s="7"/>
      <x:c r="K101" s="9" t="str">
        <x:f>IF($B101="","",TEXT($B101,"yyyy-mm"))</x:f>
      </x:c>
      <x:c r="L101" s="9" t="str">
        <x:f>IF($E101="","",IFERROR(INDEX('계정과목'!$B$6:$B$56,MATCH($E101,'계정과목'!$A$6:$A$56,0)),"미등록"))</x:f>
      </x:c>
      <x:c r="M101" s="9" t="str">
        <x:f>IF($E101="","",IFERROR(INDEX('계정과목'!$C$6:$C$56,MATCH($E101,'계정과목'!$A$6:$A$56,0)),""))</x:f>
      </x:c>
      <x:c r="N101" s="9" t="str">
        <x:f>IF($E101="","",IFERROR(INDEX('계정과목'!$D$6:$D$56,MATCH($E101,'계정과목'!$A$6:$A$56,0)),""))</x:f>
      </x:c>
      <x:c r="O101" s="9" t="str">
        <x:f>IF($E101="","",IF(COUNTIF('계정과목'!$A$6:$A$56,$E101)=0,"미등록","정상"))</x:f>
      </x:c>
      <x:c r="P101" s="14" t="str">
        <x:f>IF($A101="","",ROUND(SUMIFS('전표'!$F$7:$F$306,'전표'!$A$7:$A$306,$A101)-SUMIFS('전표'!$G$7:$G$306,'전표'!$A$7:$A$306,$A101),0))</x:f>
      </x:c>
      <x:c r="Q101" s="14" t="n">
        <x:f>IF(ISNUMBER($P101),IF(ABS($P101)&gt;=1,1,0),0)</x:f>
        <x:v>0</x:v>
      </x:c>
    </x:row>
    <x:row r="102">
      <x:c r="A102" s="7"/>
      <x:c r="B102" s="11"/>
      <x:c r="C102" s="7"/>
      <x:c r="D102" s="7"/>
      <x:c r="E102" s="7"/>
      <x:c r="F102" s="13"/>
      <x:c r="G102" s="13"/>
      <x:c r="H102" s="13"/>
      <x:c r="I102" s="7"/>
      <x:c r="J102" s="7"/>
      <x:c r="K102" s="9" t="str">
        <x:f>IF($B102="","",TEXT($B102,"yyyy-mm"))</x:f>
      </x:c>
      <x:c r="L102" s="9" t="str">
        <x:f>IF($E102="","",IFERROR(INDEX('계정과목'!$B$6:$B$56,MATCH($E102,'계정과목'!$A$6:$A$56,0)),"미등록"))</x:f>
      </x:c>
      <x:c r="M102" s="9" t="str">
        <x:f>IF($E102="","",IFERROR(INDEX('계정과목'!$C$6:$C$56,MATCH($E102,'계정과목'!$A$6:$A$56,0)),""))</x:f>
      </x:c>
      <x:c r="N102" s="9" t="str">
        <x:f>IF($E102="","",IFERROR(INDEX('계정과목'!$D$6:$D$56,MATCH($E102,'계정과목'!$A$6:$A$56,0)),""))</x:f>
      </x:c>
      <x:c r="O102" s="9" t="str">
        <x:f>IF($E102="","",IF(COUNTIF('계정과목'!$A$6:$A$56,$E102)=0,"미등록","정상"))</x:f>
      </x:c>
      <x:c r="P102" s="14" t="str">
        <x:f>IF($A102="","",ROUND(SUMIFS('전표'!$F$7:$F$306,'전표'!$A$7:$A$306,$A102)-SUMIFS('전표'!$G$7:$G$306,'전표'!$A$7:$A$306,$A102),0))</x:f>
      </x:c>
      <x:c r="Q102" s="14" t="n">
        <x:f>IF(ISNUMBER($P102),IF(ABS($P102)&gt;=1,1,0),0)</x:f>
        <x:v>0</x:v>
      </x:c>
    </x:row>
    <x:row r="103">
      <x:c r="A103" s="7"/>
      <x:c r="B103" s="11"/>
      <x:c r="C103" s="7"/>
      <x:c r="D103" s="7"/>
      <x:c r="E103" s="7"/>
      <x:c r="F103" s="13"/>
      <x:c r="G103" s="13"/>
      <x:c r="H103" s="13"/>
      <x:c r="I103" s="7"/>
      <x:c r="J103" s="7"/>
      <x:c r="K103" s="9" t="str">
        <x:f>IF($B103="","",TEXT($B103,"yyyy-mm"))</x:f>
      </x:c>
      <x:c r="L103" s="9" t="str">
        <x:f>IF($E103="","",IFERROR(INDEX('계정과목'!$B$6:$B$56,MATCH($E103,'계정과목'!$A$6:$A$56,0)),"미등록"))</x:f>
      </x:c>
      <x:c r="M103" s="9" t="str">
        <x:f>IF($E103="","",IFERROR(INDEX('계정과목'!$C$6:$C$56,MATCH($E103,'계정과목'!$A$6:$A$56,0)),""))</x:f>
      </x:c>
      <x:c r="N103" s="9" t="str">
        <x:f>IF($E103="","",IFERROR(INDEX('계정과목'!$D$6:$D$56,MATCH($E103,'계정과목'!$A$6:$A$56,0)),""))</x:f>
      </x:c>
      <x:c r="O103" s="9" t="str">
        <x:f>IF($E103="","",IF(COUNTIF('계정과목'!$A$6:$A$56,$E103)=0,"미등록","정상"))</x:f>
      </x:c>
      <x:c r="P103" s="14" t="str">
        <x:f>IF($A103="","",ROUND(SUMIFS('전표'!$F$7:$F$306,'전표'!$A$7:$A$306,$A103)-SUMIFS('전표'!$G$7:$G$306,'전표'!$A$7:$A$306,$A103),0))</x:f>
      </x:c>
      <x:c r="Q103" s="14" t="n">
        <x:f>IF(ISNUMBER($P103),IF(ABS($P103)&gt;=1,1,0),0)</x:f>
        <x:v>0</x:v>
      </x:c>
    </x:row>
    <x:row r="104">
      <x:c r="A104" s="7"/>
      <x:c r="B104" s="11"/>
      <x:c r="C104" s="7"/>
      <x:c r="D104" s="7"/>
      <x:c r="E104" s="7"/>
      <x:c r="F104" s="13"/>
      <x:c r="G104" s="13"/>
      <x:c r="H104" s="13"/>
      <x:c r="I104" s="7"/>
      <x:c r="J104" s="7"/>
      <x:c r="K104" s="9" t="str">
        <x:f>IF($B104="","",TEXT($B104,"yyyy-mm"))</x:f>
      </x:c>
      <x:c r="L104" s="9" t="str">
        <x:f>IF($E104="","",IFERROR(INDEX('계정과목'!$B$6:$B$56,MATCH($E104,'계정과목'!$A$6:$A$56,0)),"미등록"))</x:f>
      </x:c>
      <x:c r="M104" s="9" t="str">
        <x:f>IF($E104="","",IFERROR(INDEX('계정과목'!$C$6:$C$56,MATCH($E104,'계정과목'!$A$6:$A$56,0)),""))</x:f>
      </x:c>
      <x:c r="N104" s="9" t="str">
        <x:f>IF($E104="","",IFERROR(INDEX('계정과목'!$D$6:$D$56,MATCH($E104,'계정과목'!$A$6:$A$56,0)),""))</x:f>
      </x:c>
      <x:c r="O104" s="9" t="str">
        <x:f>IF($E104="","",IF(COUNTIF('계정과목'!$A$6:$A$56,$E104)=0,"미등록","정상"))</x:f>
      </x:c>
      <x:c r="P104" s="14" t="str">
        <x:f>IF($A104="","",ROUND(SUMIFS('전표'!$F$7:$F$306,'전표'!$A$7:$A$306,$A104)-SUMIFS('전표'!$G$7:$G$306,'전표'!$A$7:$A$306,$A104),0))</x:f>
      </x:c>
      <x:c r="Q104" s="14" t="n">
        <x:f>IF(ISNUMBER($P104),IF(ABS($P104)&gt;=1,1,0),0)</x:f>
        <x:v>0</x:v>
      </x:c>
    </x:row>
    <x:row r="105">
      <x:c r="A105" s="7"/>
      <x:c r="B105" s="11"/>
      <x:c r="C105" s="7"/>
      <x:c r="D105" s="7"/>
      <x:c r="E105" s="7"/>
      <x:c r="F105" s="13"/>
      <x:c r="G105" s="13"/>
      <x:c r="H105" s="13"/>
      <x:c r="I105" s="7"/>
      <x:c r="J105" s="7"/>
      <x:c r="K105" s="9" t="str">
        <x:f>IF($B105="","",TEXT($B105,"yyyy-mm"))</x:f>
      </x:c>
      <x:c r="L105" s="9" t="str">
        <x:f>IF($E105="","",IFERROR(INDEX('계정과목'!$B$6:$B$56,MATCH($E105,'계정과목'!$A$6:$A$56,0)),"미등록"))</x:f>
      </x:c>
      <x:c r="M105" s="9" t="str">
        <x:f>IF($E105="","",IFERROR(INDEX('계정과목'!$C$6:$C$56,MATCH($E105,'계정과목'!$A$6:$A$56,0)),""))</x:f>
      </x:c>
      <x:c r="N105" s="9" t="str">
        <x:f>IF($E105="","",IFERROR(INDEX('계정과목'!$D$6:$D$56,MATCH($E105,'계정과목'!$A$6:$A$56,0)),""))</x:f>
      </x:c>
      <x:c r="O105" s="9" t="str">
        <x:f>IF($E105="","",IF(COUNTIF('계정과목'!$A$6:$A$56,$E105)=0,"미등록","정상"))</x:f>
      </x:c>
      <x:c r="P105" s="14" t="str">
        <x:f>IF($A105="","",ROUND(SUMIFS('전표'!$F$7:$F$306,'전표'!$A$7:$A$306,$A105)-SUMIFS('전표'!$G$7:$G$306,'전표'!$A$7:$A$306,$A105),0))</x:f>
      </x:c>
      <x:c r="Q105" s="14" t="n">
        <x:f>IF(ISNUMBER($P105),IF(ABS($P105)&gt;=1,1,0),0)</x:f>
        <x:v>0</x:v>
      </x:c>
    </x:row>
    <x:row r="106">
      <x:c r="A106" s="7"/>
      <x:c r="B106" s="11"/>
      <x:c r="C106" s="7"/>
      <x:c r="D106" s="7"/>
      <x:c r="E106" s="7"/>
      <x:c r="F106" s="13"/>
      <x:c r="G106" s="13"/>
      <x:c r="H106" s="13"/>
      <x:c r="I106" s="7"/>
      <x:c r="J106" s="7"/>
      <x:c r="K106" s="9" t="str">
        <x:f>IF($B106="","",TEXT($B106,"yyyy-mm"))</x:f>
      </x:c>
      <x:c r="L106" s="9" t="str">
        <x:f>IF($E106="","",IFERROR(INDEX('계정과목'!$B$6:$B$56,MATCH($E106,'계정과목'!$A$6:$A$56,0)),"미등록"))</x:f>
      </x:c>
      <x:c r="M106" s="9" t="str">
        <x:f>IF($E106="","",IFERROR(INDEX('계정과목'!$C$6:$C$56,MATCH($E106,'계정과목'!$A$6:$A$56,0)),""))</x:f>
      </x:c>
      <x:c r="N106" s="9" t="str">
        <x:f>IF($E106="","",IFERROR(INDEX('계정과목'!$D$6:$D$56,MATCH($E106,'계정과목'!$A$6:$A$56,0)),""))</x:f>
      </x:c>
      <x:c r="O106" s="9" t="str">
        <x:f>IF($E106="","",IF(COUNTIF('계정과목'!$A$6:$A$56,$E106)=0,"미등록","정상"))</x:f>
      </x:c>
      <x:c r="P106" s="14" t="str">
        <x:f>IF($A106="","",ROUND(SUMIFS('전표'!$F$7:$F$306,'전표'!$A$7:$A$306,$A106)-SUMIFS('전표'!$G$7:$G$306,'전표'!$A$7:$A$306,$A106),0))</x:f>
      </x:c>
      <x:c r="Q106" s="14" t="n">
        <x:f>IF(ISNUMBER($P106),IF(ABS($P106)&gt;=1,1,0),0)</x:f>
        <x:v>0</x:v>
      </x:c>
    </x:row>
    <x:row r="107">
      <x:c r="A107" s="7"/>
      <x:c r="B107" s="11"/>
      <x:c r="C107" s="7"/>
      <x:c r="D107" s="7"/>
      <x:c r="E107" s="7"/>
      <x:c r="F107" s="13"/>
      <x:c r="G107" s="13"/>
      <x:c r="H107" s="13"/>
      <x:c r="I107" s="7"/>
      <x:c r="J107" s="7"/>
      <x:c r="K107" s="9" t="str">
        <x:f>IF($B107="","",TEXT($B107,"yyyy-mm"))</x:f>
      </x:c>
      <x:c r="L107" s="9" t="str">
        <x:f>IF($E107="","",IFERROR(INDEX('계정과목'!$B$6:$B$56,MATCH($E107,'계정과목'!$A$6:$A$56,0)),"미등록"))</x:f>
      </x:c>
      <x:c r="M107" s="9" t="str">
        <x:f>IF($E107="","",IFERROR(INDEX('계정과목'!$C$6:$C$56,MATCH($E107,'계정과목'!$A$6:$A$56,0)),""))</x:f>
      </x:c>
      <x:c r="N107" s="9" t="str">
        <x:f>IF($E107="","",IFERROR(INDEX('계정과목'!$D$6:$D$56,MATCH($E107,'계정과목'!$A$6:$A$56,0)),""))</x:f>
      </x:c>
      <x:c r="O107" s="9" t="str">
        <x:f>IF($E107="","",IF(COUNTIF('계정과목'!$A$6:$A$56,$E107)=0,"미등록","정상"))</x:f>
      </x:c>
      <x:c r="P107" s="14" t="str">
        <x:f>IF($A107="","",ROUND(SUMIFS('전표'!$F$7:$F$306,'전표'!$A$7:$A$306,$A107)-SUMIFS('전표'!$G$7:$G$306,'전표'!$A$7:$A$306,$A107),0))</x:f>
      </x:c>
      <x:c r="Q107" s="14" t="n">
        <x:f>IF(ISNUMBER($P107),IF(ABS($P107)&gt;=1,1,0),0)</x:f>
        <x:v>0</x:v>
      </x:c>
    </x:row>
    <x:row r="108">
      <x:c r="A108" s="7"/>
      <x:c r="B108" s="11"/>
      <x:c r="C108" s="7"/>
      <x:c r="D108" s="7"/>
      <x:c r="E108" s="7"/>
      <x:c r="F108" s="13"/>
      <x:c r="G108" s="13"/>
      <x:c r="H108" s="13"/>
      <x:c r="I108" s="7"/>
      <x:c r="J108" s="7"/>
      <x:c r="K108" s="9" t="str">
        <x:f>IF($B108="","",TEXT($B108,"yyyy-mm"))</x:f>
      </x:c>
      <x:c r="L108" s="9" t="str">
        <x:f>IF($E108="","",IFERROR(INDEX('계정과목'!$B$6:$B$56,MATCH($E108,'계정과목'!$A$6:$A$56,0)),"미등록"))</x:f>
      </x:c>
      <x:c r="M108" s="9" t="str">
        <x:f>IF($E108="","",IFERROR(INDEX('계정과목'!$C$6:$C$56,MATCH($E108,'계정과목'!$A$6:$A$56,0)),""))</x:f>
      </x:c>
      <x:c r="N108" s="9" t="str">
        <x:f>IF($E108="","",IFERROR(INDEX('계정과목'!$D$6:$D$56,MATCH($E108,'계정과목'!$A$6:$A$56,0)),""))</x:f>
      </x:c>
      <x:c r="O108" s="9" t="str">
        <x:f>IF($E108="","",IF(COUNTIF('계정과목'!$A$6:$A$56,$E108)=0,"미등록","정상"))</x:f>
      </x:c>
      <x:c r="P108" s="14" t="str">
        <x:f>IF($A108="","",ROUND(SUMIFS('전표'!$F$7:$F$306,'전표'!$A$7:$A$306,$A108)-SUMIFS('전표'!$G$7:$G$306,'전표'!$A$7:$A$306,$A108),0))</x:f>
      </x:c>
      <x:c r="Q108" s="14" t="n">
        <x:f>IF(ISNUMBER($P108),IF(ABS($P108)&gt;=1,1,0),0)</x:f>
        <x:v>0</x:v>
      </x:c>
    </x:row>
    <x:row r="109">
      <x:c r="A109" s="7"/>
      <x:c r="B109" s="11"/>
      <x:c r="C109" s="7"/>
      <x:c r="D109" s="7"/>
      <x:c r="E109" s="7"/>
      <x:c r="F109" s="13"/>
      <x:c r="G109" s="13"/>
      <x:c r="H109" s="13"/>
      <x:c r="I109" s="7"/>
      <x:c r="J109" s="7"/>
      <x:c r="K109" s="9" t="str">
        <x:f>IF($B109="","",TEXT($B109,"yyyy-mm"))</x:f>
      </x:c>
      <x:c r="L109" s="9" t="str">
        <x:f>IF($E109="","",IFERROR(INDEX('계정과목'!$B$6:$B$56,MATCH($E109,'계정과목'!$A$6:$A$56,0)),"미등록"))</x:f>
      </x:c>
      <x:c r="M109" s="9" t="str">
        <x:f>IF($E109="","",IFERROR(INDEX('계정과목'!$C$6:$C$56,MATCH($E109,'계정과목'!$A$6:$A$56,0)),""))</x:f>
      </x:c>
      <x:c r="N109" s="9" t="str">
        <x:f>IF($E109="","",IFERROR(INDEX('계정과목'!$D$6:$D$56,MATCH($E109,'계정과목'!$A$6:$A$56,0)),""))</x:f>
      </x:c>
      <x:c r="O109" s="9" t="str">
        <x:f>IF($E109="","",IF(COUNTIF('계정과목'!$A$6:$A$56,$E109)=0,"미등록","정상"))</x:f>
      </x:c>
      <x:c r="P109" s="14" t="str">
        <x:f>IF($A109="","",ROUND(SUMIFS('전표'!$F$7:$F$306,'전표'!$A$7:$A$306,$A109)-SUMIFS('전표'!$G$7:$G$306,'전표'!$A$7:$A$306,$A109),0))</x:f>
      </x:c>
      <x:c r="Q109" s="14" t="n">
        <x:f>IF(ISNUMBER($P109),IF(ABS($P109)&gt;=1,1,0),0)</x:f>
        <x:v>0</x:v>
      </x:c>
    </x:row>
    <x:row r="110">
      <x:c r="A110" s="7"/>
      <x:c r="B110" s="11"/>
      <x:c r="C110" s="7"/>
      <x:c r="D110" s="7"/>
      <x:c r="E110" s="7"/>
      <x:c r="F110" s="13"/>
      <x:c r="G110" s="13"/>
      <x:c r="H110" s="13"/>
      <x:c r="I110" s="7"/>
      <x:c r="J110" s="7"/>
      <x:c r="K110" s="9" t="str">
        <x:f>IF($B110="","",TEXT($B110,"yyyy-mm"))</x:f>
      </x:c>
      <x:c r="L110" s="9" t="str">
        <x:f>IF($E110="","",IFERROR(INDEX('계정과목'!$B$6:$B$56,MATCH($E110,'계정과목'!$A$6:$A$56,0)),"미등록"))</x:f>
      </x:c>
      <x:c r="M110" s="9" t="str">
        <x:f>IF($E110="","",IFERROR(INDEX('계정과목'!$C$6:$C$56,MATCH($E110,'계정과목'!$A$6:$A$56,0)),""))</x:f>
      </x:c>
      <x:c r="N110" s="9" t="str">
        <x:f>IF($E110="","",IFERROR(INDEX('계정과목'!$D$6:$D$56,MATCH($E110,'계정과목'!$A$6:$A$56,0)),""))</x:f>
      </x:c>
      <x:c r="O110" s="9" t="str">
        <x:f>IF($E110="","",IF(COUNTIF('계정과목'!$A$6:$A$56,$E110)=0,"미등록","정상"))</x:f>
      </x:c>
      <x:c r="P110" s="14" t="str">
        <x:f>IF($A110="","",ROUND(SUMIFS('전표'!$F$7:$F$306,'전표'!$A$7:$A$306,$A110)-SUMIFS('전표'!$G$7:$G$306,'전표'!$A$7:$A$306,$A110),0))</x:f>
      </x:c>
      <x:c r="Q110" s="14" t="n">
        <x:f>IF(ISNUMBER($P110),IF(ABS($P110)&gt;=1,1,0),0)</x:f>
        <x:v>0</x:v>
      </x:c>
    </x:row>
    <x:row r="111">
      <x:c r="A111" s="7"/>
      <x:c r="B111" s="11"/>
      <x:c r="C111" s="7"/>
      <x:c r="D111" s="7"/>
      <x:c r="E111" s="7"/>
      <x:c r="F111" s="13"/>
      <x:c r="G111" s="13"/>
      <x:c r="H111" s="13"/>
      <x:c r="I111" s="7"/>
      <x:c r="J111" s="7"/>
      <x:c r="K111" s="9" t="str">
        <x:f>IF($B111="","",TEXT($B111,"yyyy-mm"))</x:f>
      </x:c>
      <x:c r="L111" s="9" t="str">
        <x:f>IF($E111="","",IFERROR(INDEX('계정과목'!$B$6:$B$56,MATCH($E111,'계정과목'!$A$6:$A$56,0)),"미등록"))</x:f>
      </x:c>
      <x:c r="M111" s="9" t="str">
        <x:f>IF($E111="","",IFERROR(INDEX('계정과목'!$C$6:$C$56,MATCH($E111,'계정과목'!$A$6:$A$56,0)),""))</x:f>
      </x:c>
      <x:c r="N111" s="9" t="str">
        <x:f>IF($E111="","",IFERROR(INDEX('계정과목'!$D$6:$D$56,MATCH($E111,'계정과목'!$A$6:$A$56,0)),""))</x:f>
      </x:c>
      <x:c r="O111" s="9" t="str">
        <x:f>IF($E111="","",IF(COUNTIF('계정과목'!$A$6:$A$56,$E111)=0,"미등록","정상"))</x:f>
      </x:c>
      <x:c r="P111" s="14" t="str">
        <x:f>IF($A111="","",ROUND(SUMIFS('전표'!$F$7:$F$306,'전표'!$A$7:$A$306,$A111)-SUMIFS('전표'!$G$7:$G$306,'전표'!$A$7:$A$306,$A111),0))</x:f>
      </x:c>
      <x:c r="Q111" s="14" t="n">
        <x:f>IF(ISNUMBER($P111),IF(ABS($P111)&gt;=1,1,0),0)</x:f>
        <x:v>0</x:v>
      </x:c>
    </x:row>
    <x:row r="112">
      <x:c r="A112" s="7"/>
      <x:c r="B112" s="11"/>
      <x:c r="C112" s="7"/>
      <x:c r="D112" s="7"/>
      <x:c r="E112" s="7"/>
      <x:c r="F112" s="13"/>
      <x:c r="G112" s="13"/>
      <x:c r="H112" s="13"/>
      <x:c r="I112" s="7"/>
      <x:c r="J112" s="7"/>
      <x:c r="K112" s="9" t="str">
        <x:f>IF($B112="","",TEXT($B112,"yyyy-mm"))</x:f>
      </x:c>
      <x:c r="L112" s="9" t="str">
        <x:f>IF($E112="","",IFERROR(INDEX('계정과목'!$B$6:$B$56,MATCH($E112,'계정과목'!$A$6:$A$56,0)),"미등록"))</x:f>
      </x:c>
      <x:c r="M112" s="9" t="str">
        <x:f>IF($E112="","",IFERROR(INDEX('계정과목'!$C$6:$C$56,MATCH($E112,'계정과목'!$A$6:$A$56,0)),""))</x:f>
      </x:c>
      <x:c r="N112" s="9" t="str">
        <x:f>IF($E112="","",IFERROR(INDEX('계정과목'!$D$6:$D$56,MATCH($E112,'계정과목'!$A$6:$A$56,0)),""))</x:f>
      </x:c>
      <x:c r="O112" s="9" t="str">
        <x:f>IF($E112="","",IF(COUNTIF('계정과목'!$A$6:$A$56,$E112)=0,"미등록","정상"))</x:f>
      </x:c>
      <x:c r="P112" s="14" t="str">
        <x:f>IF($A112="","",ROUND(SUMIFS('전표'!$F$7:$F$306,'전표'!$A$7:$A$306,$A112)-SUMIFS('전표'!$G$7:$G$306,'전표'!$A$7:$A$306,$A112),0))</x:f>
      </x:c>
      <x:c r="Q112" s="14" t="n">
        <x:f>IF(ISNUMBER($P112),IF(ABS($P112)&gt;=1,1,0),0)</x:f>
        <x:v>0</x:v>
      </x:c>
    </x:row>
    <x:row r="113">
      <x:c r="A113" s="7"/>
      <x:c r="B113" s="11"/>
      <x:c r="C113" s="7"/>
      <x:c r="D113" s="7"/>
      <x:c r="E113" s="7"/>
      <x:c r="F113" s="13"/>
      <x:c r="G113" s="13"/>
      <x:c r="H113" s="13"/>
      <x:c r="I113" s="7"/>
      <x:c r="J113" s="7"/>
      <x:c r="K113" s="9" t="str">
        <x:f>IF($B113="","",TEXT($B113,"yyyy-mm"))</x:f>
      </x:c>
      <x:c r="L113" s="9" t="str">
        <x:f>IF($E113="","",IFERROR(INDEX('계정과목'!$B$6:$B$56,MATCH($E113,'계정과목'!$A$6:$A$56,0)),"미등록"))</x:f>
      </x:c>
      <x:c r="M113" s="9" t="str">
        <x:f>IF($E113="","",IFERROR(INDEX('계정과목'!$C$6:$C$56,MATCH($E113,'계정과목'!$A$6:$A$56,0)),""))</x:f>
      </x:c>
      <x:c r="N113" s="9" t="str">
        <x:f>IF($E113="","",IFERROR(INDEX('계정과목'!$D$6:$D$56,MATCH($E113,'계정과목'!$A$6:$A$56,0)),""))</x:f>
      </x:c>
      <x:c r="O113" s="9" t="str">
        <x:f>IF($E113="","",IF(COUNTIF('계정과목'!$A$6:$A$56,$E113)=0,"미등록","정상"))</x:f>
      </x:c>
      <x:c r="P113" s="14" t="str">
        <x:f>IF($A113="","",ROUND(SUMIFS('전표'!$F$7:$F$306,'전표'!$A$7:$A$306,$A113)-SUMIFS('전표'!$G$7:$G$306,'전표'!$A$7:$A$306,$A113),0))</x:f>
      </x:c>
      <x:c r="Q113" s="14" t="n">
        <x:f>IF(ISNUMBER($P113),IF(ABS($P113)&gt;=1,1,0),0)</x:f>
        <x:v>0</x:v>
      </x:c>
    </x:row>
    <x:row r="114">
      <x:c r="A114" s="7"/>
      <x:c r="B114" s="11"/>
      <x:c r="C114" s="7"/>
      <x:c r="D114" s="7"/>
      <x:c r="E114" s="7"/>
      <x:c r="F114" s="13"/>
      <x:c r="G114" s="13"/>
      <x:c r="H114" s="13"/>
      <x:c r="I114" s="7"/>
      <x:c r="J114" s="7"/>
      <x:c r="K114" s="9" t="str">
        <x:f>IF($B114="","",TEXT($B114,"yyyy-mm"))</x:f>
      </x:c>
      <x:c r="L114" s="9" t="str">
        <x:f>IF($E114="","",IFERROR(INDEX('계정과목'!$B$6:$B$56,MATCH($E114,'계정과목'!$A$6:$A$56,0)),"미등록"))</x:f>
      </x:c>
      <x:c r="M114" s="9" t="str">
        <x:f>IF($E114="","",IFERROR(INDEX('계정과목'!$C$6:$C$56,MATCH($E114,'계정과목'!$A$6:$A$56,0)),""))</x:f>
      </x:c>
      <x:c r="N114" s="9" t="str">
        <x:f>IF($E114="","",IFERROR(INDEX('계정과목'!$D$6:$D$56,MATCH($E114,'계정과목'!$A$6:$A$56,0)),""))</x:f>
      </x:c>
      <x:c r="O114" s="9" t="str">
        <x:f>IF($E114="","",IF(COUNTIF('계정과목'!$A$6:$A$56,$E114)=0,"미등록","정상"))</x:f>
      </x:c>
      <x:c r="P114" s="14" t="str">
        <x:f>IF($A114="","",ROUND(SUMIFS('전표'!$F$7:$F$306,'전표'!$A$7:$A$306,$A114)-SUMIFS('전표'!$G$7:$G$306,'전표'!$A$7:$A$306,$A114),0))</x:f>
      </x:c>
      <x:c r="Q114" s="14" t="n">
        <x:f>IF(ISNUMBER($P114),IF(ABS($P114)&gt;=1,1,0),0)</x:f>
        <x:v>0</x:v>
      </x:c>
    </x:row>
    <x:row r="115">
      <x:c r="A115" s="7"/>
      <x:c r="B115" s="11"/>
      <x:c r="C115" s="7"/>
      <x:c r="D115" s="7"/>
      <x:c r="E115" s="7"/>
      <x:c r="F115" s="13"/>
      <x:c r="G115" s="13"/>
      <x:c r="H115" s="13"/>
      <x:c r="I115" s="7"/>
      <x:c r="J115" s="7"/>
      <x:c r="K115" s="9" t="str">
        <x:f>IF($B115="","",TEXT($B115,"yyyy-mm"))</x:f>
      </x:c>
      <x:c r="L115" s="9" t="str">
        <x:f>IF($E115="","",IFERROR(INDEX('계정과목'!$B$6:$B$56,MATCH($E115,'계정과목'!$A$6:$A$56,0)),"미등록"))</x:f>
      </x:c>
      <x:c r="M115" s="9" t="str">
        <x:f>IF($E115="","",IFERROR(INDEX('계정과목'!$C$6:$C$56,MATCH($E115,'계정과목'!$A$6:$A$56,0)),""))</x:f>
      </x:c>
      <x:c r="N115" s="9" t="str">
        <x:f>IF($E115="","",IFERROR(INDEX('계정과목'!$D$6:$D$56,MATCH($E115,'계정과목'!$A$6:$A$56,0)),""))</x:f>
      </x:c>
      <x:c r="O115" s="9" t="str">
        <x:f>IF($E115="","",IF(COUNTIF('계정과목'!$A$6:$A$56,$E115)=0,"미등록","정상"))</x:f>
      </x:c>
      <x:c r="P115" s="14" t="str">
        <x:f>IF($A115="","",ROUND(SUMIFS('전표'!$F$7:$F$306,'전표'!$A$7:$A$306,$A115)-SUMIFS('전표'!$G$7:$G$306,'전표'!$A$7:$A$306,$A115),0))</x:f>
      </x:c>
      <x:c r="Q115" s="14" t="n">
        <x:f>IF(ISNUMBER($P115),IF(ABS($P115)&gt;=1,1,0),0)</x:f>
        <x:v>0</x:v>
      </x:c>
    </x:row>
    <x:row r="116">
      <x:c r="A116" s="7"/>
      <x:c r="B116" s="11"/>
      <x:c r="C116" s="7"/>
      <x:c r="D116" s="7"/>
      <x:c r="E116" s="7"/>
      <x:c r="F116" s="13"/>
      <x:c r="G116" s="13"/>
      <x:c r="H116" s="13"/>
      <x:c r="I116" s="7"/>
      <x:c r="J116" s="7"/>
      <x:c r="K116" s="9" t="str">
        <x:f>IF($B116="","",TEXT($B116,"yyyy-mm"))</x:f>
      </x:c>
      <x:c r="L116" s="9" t="str">
        <x:f>IF($E116="","",IFERROR(INDEX('계정과목'!$B$6:$B$56,MATCH($E116,'계정과목'!$A$6:$A$56,0)),"미등록"))</x:f>
      </x:c>
      <x:c r="M116" s="9" t="str">
        <x:f>IF($E116="","",IFERROR(INDEX('계정과목'!$C$6:$C$56,MATCH($E116,'계정과목'!$A$6:$A$56,0)),""))</x:f>
      </x:c>
      <x:c r="N116" s="9" t="str">
        <x:f>IF($E116="","",IFERROR(INDEX('계정과목'!$D$6:$D$56,MATCH($E116,'계정과목'!$A$6:$A$56,0)),""))</x:f>
      </x:c>
      <x:c r="O116" s="9" t="str">
        <x:f>IF($E116="","",IF(COUNTIF('계정과목'!$A$6:$A$56,$E116)=0,"미등록","정상"))</x:f>
      </x:c>
      <x:c r="P116" s="14" t="str">
        <x:f>IF($A116="","",ROUND(SUMIFS('전표'!$F$7:$F$306,'전표'!$A$7:$A$306,$A116)-SUMIFS('전표'!$G$7:$G$306,'전표'!$A$7:$A$306,$A116),0))</x:f>
      </x:c>
      <x:c r="Q116" s="14" t="n">
        <x:f>IF(ISNUMBER($P116),IF(ABS($P116)&gt;=1,1,0),0)</x:f>
        <x:v>0</x:v>
      </x:c>
    </x:row>
    <x:row r="117">
      <x:c r="A117" s="7"/>
      <x:c r="B117" s="11"/>
      <x:c r="C117" s="7"/>
      <x:c r="D117" s="7"/>
      <x:c r="E117" s="7"/>
      <x:c r="F117" s="13"/>
      <x:c r="G117" s="13"/>
      <x:c r="H117" s="13"/>
      <x:c r="I117" s="7"/>
      <x:c r="J117" s="7"/>
      <x:c r="K117" s="9" t="str">
        <x:f>IF($B117="","",TEXT($B117,"yyyy-mm"))</x:f>
      </x:c>
      <x:c r="L117" s="9" t="str">
        <x:f>IF($E117="","",IFERROR(INDEX('계정과목'!$B$6:$B$56,MATCH($E117,'계정과목'!$A$6:$A$56,0)),"미등록"))</x:f>
      </x:c>
      <x:c r="M117" s="9" t="str">
        <x:f>IF($E117="","",IFERROR(INDEX('계정과목'!$C$6:$C$56,MATCH($E117,'계정과목'!$A$6:$A$56,0)),""))</x:f>
      </x:c>
      <x:c r="N117" s="9" t="str">
        <x:f>IF($E117="","",IFERROR(INDEX('계정과목'!$D$6:$D$56,MATCH($E117,'계정과목'!$A$6:$A$56,0)),""))</x:f>
      </x:c>
      <x:c r="O117" s="9" t="str">
        <x:f>IF($E117="","",IF(COUNTIF('계정과목'!$A$6:$A$56,$E117)=0,"미등록","정상"))</x:f>
      </x:c>
      <x:c r="P117" s="14" t="str">
        <x:f>IF($A117="","",ROUND(SUMIFS('전표'!$F$7:$F$306,'전표'!$A$7:$A$306,$A117)-SUMIFS('전표'!$G$7:$G$306,'전표'!$A$7:$A$306,$A117),0))</x:f>
      </x:c>
      <x:c r="Q117" s="14" t="n">
        <x:f>IF(ISNUMBER($P117),IF(ABS($P117)&gt;=1,1,0),0)</x:f>
        <x:v>0</x:v>
      </x:c>
    </x:row>
    <x:row r="118">
      <x:c r="A118" s="7"/>
      <x:c r="B118" s="11"/>
      <x:c r="C118" s="7"/>
      <x:c r="D118" s="7"/>
      <x:c r="E118" s="7"/>
      <x:c r="F118" s="13"/>
      <x:c r="G118" s="13"/>
      <x:c r="H118" s="13"/>
      <x:c r="I118" s="7"/>
      <x:c r="J118" s="7"/>
      <x:c r="K118" s="9" t="str">
        <x:f>IF($B118="","",TEXT($B118,"yyyy-mm"))</x:f>
      </x:c>
      <x:c r="L118" s="9" t="str">
        <x:f>IF($E118="","",IFERROR(INDEX('계정과목'!$B$6:$B$56,MATCH($E118,'계정과목'!$A$6:$A$56,0)),"미등록"))</x:f>
      </x:c>
      <x:c r="M118" s="9" t="str">
        <x:f>IF($E118="","",IFERROR(INDEX('계정과목'!$C$6:$C$56,MATCH($E118,'계정과목'!$A$6:$A$56,0)),""))</x:f>
      </x:c>
      <x:c r="N118" s="9" t="str">
        <x:f>IF($E118="","",IFERROR(INDEX('계정과목'!$D$6:$D$56,MATCH($E118,'계정과목'!$A$6:$A$56,0)),""))</x:f>
      </x:c>
      <x:c r="O118" s="9" t="str">
        <x:f>IF($E118="","",IF(COUNTIF('계정과목'!$A$6:$A$56,$E118)=0,"미등록","정상"))</x:f>
      </x:c>
      <x:c r="P118" s="14" t="str">
        <x:f>IF($A118="","",ROUND(SUMIFS('전표'!$F$7:$F$306,'전표'!$A$7:$A$306,$A118)-SUMIFS('전표'!$G$7:$G$306,'전표'!$A$7:$A$306,$A118),0))</x:f>
      </x:c>
      <x:c r="Q118" s="14" t="n">
        <x:f>IF(ISNUMBER($P118),IF(ABS($P118)&gt;=1,1,0),0)</x:f>
        <x:v>0</x:v>
      </x:c>
    </x:row>
    <x:row r="119">
      <x:c r="A119" s="7"/>
      <x:c r="B119" s="11"/>
      <x:c r="C119" s="7"/>
      <x:c r="D119" s="7"/>
      <x:c r="E119" s="7"/>
      <x:c r="F119" s="13"/>
      <x:c r="G119" s="13"/>
      <x:c r="H119" s="13"/>
      <x:c r="I119" s="7"/>
      <x:c r="J119" s="7"/>
      <x:c r="K119" s="9" t="str">
        <x:f>IF($B119="","",TEXT($B119,"yyyy-mm"))</x:f>
      </x:c>
      <x:c r="L119" s="9" t="str">
        <x:f>IF($E119="","",IFERROR(INDEX('계정과목'!$B$6:$B$56,MATCH($E119,'계정과목'!$A$6:$A$56,0)),"미등록"))</x:f>
      </x:c>
      <x:c r="M119" s="9" t="str">
        <x:f>IF($E119="","",IFERROR(INDEX('계정과목'!$C$6:$C$56,MATCH($E119,'계정과목'!$A$6:$A$56,0)),""))</x:f>
      </x:c>
      <x:c r="N119" s="9" t="str">
        <x:f>IF($E119="","",IFERROR(INDEX('계정과목'!$D$6:$D$56,MATCH($E119,'계정과목'!$A$6:$A$56,0)),""))</x:f>
      </x:c>
      <x:c r="O119" s="9" t="str">
        <x:f>IF($E119="","",IF(COUNTIF('계정과목'!$A$6:$A$56,$E119)=0,"미등록","정상"))</x:f>
      </x:c>
      <x:c r="P119" s="14" t="str">
        <x:f>IF($A119="","",ROUND(SUMIFS('전표'!$F$7:$F$306,'전표'!$A$7:$A$306,$A119)-SUMIFS('전표'!$G$7:$G$306,'전표'!$A$7:$A$306,$A119),0))</x:f>
      </x:c>
      <x:c r="Q119" s="14" t="n">
        <x:f>IF(ISNUMBER($P119),IF(ABS($P119)&gt;=1,1,0),0)</x:f>
        <x:v>0</x:v>
      </x:c>
    </x:row>
    <x:row r="120">
      <x:c r="A120" s="7"/>
      <x:c r="B120" s="11"/>
      <x:c r="C120" s="7"/>
      <x:c r="D120" s="7"/>
      <x:c r="E120" s="7"/>
      <x:c r="F120" s="13"/>
      <x:c r="G120" s="13"/>
      <x:c r="H120" s="13"/>
      <x:c r="I120" s="7"/>
      <x:c r="J120" s="7"/>
      <x:c r="K120" s="9" t="str">
        <x:f>IF($B120="","",TEXT($B120,"yyyy-mm"))</x:f>
      </x:c>
      <x:c r="L120" s="9" t="str">
        <x:f>IF($E120="","",IFERROR(INDEX('계정과목'!$B$6:$B$56,MATCH($E120,'계정과목'!$A$6:$A$56,0)),"미등록"))</x:f>
      </x:c>
      <x:c r="M120" s="9" t="str">
        <x:f>IF($E120="","",IFERROR(INDEX('계정과목'!$C$6:$C$56,MATCH($E120,'계정과목'!$A$6:$A$56,0)),""))</x:f>
      </x:c>
      <x:c r="N120" s="9" t="str">
        <x:f>IF($E120="","",IFERROR(INDEX('계정과목'!$D$6:$D$56,MATCH($E120,'계정과목'!$A$6:$A$56,0)),""))</x:f>
      </x:c>
      <x:c r="O120" s="9" t="str">
        <x:f>IF($E120="","",IF(COUNTIF('계정과목'!$A$6:$A$56,$E120)=0,"미등록","정상"))</x:f>
      </x:c>
      <x:c r="P120" s="14" t="str">
        <x:f>IF($A120="","",ROUND(SUMIFS('전표'!$F$7:$F$306,'전표'!$A$7:$A$306,$A120)-SUMIFS('전표'!$G$7:$G$306,'전표'!$A$7:$A$306,$A120),0))</x:f>
      </x:c>
      <x:c r="Q120" s="14" t="n">
        <x:f>IF(ISNUMBER($P120),IF(ABS($P120)&gt;=1,1,0),0)</x:f>
        <x:v>0</x:v>
      </x:c>
    </x:row>
    <x:row r="121">
      <x:c r="A121" s="7"/>
      <x:c r="B121" s="11"/>
      <x:c r="C121" s="7"/>
      <x:c r="D121" s="7"/>
      <x:c r="E121" s="7"/>
      <x:c r="F121" s="13"/>
      <x:c r="G121" s="13"/>
      <x:c r="H121" s="13"/>
      <x:c r="I121" s="7"/>
      <x:c r="J121" s="7"/>
      <x:c r="K121" s="9" t="str">
        <x:f>IF($B121="","",TEXT($B121,"yyyy-mm"))</x:f>
      </x:c>
      <x:c r="L121" s="9" t="str">
        <x:f>IF($E121="","",IFERROR(INDEX('계정과목'!$B$6:$B$56,MATCH($E121,'계정과목'!$A$6:$A$56,0)),"미등록"))</x:f>
      </x:c>
      <x:c r="M121" s="9" t="str">
        <x:f>IF($E121="","",IFERROR(INDEX('계정과목'!$C$6:$C$56,MATCH($E121,'계정과목'!$A$6:$A$56,0)),""))</x:f>
      </x:c>
      <x:c r="N121" s="9" t="str">
        <x:f>IF($E121="","",IFERROR(INDEX('계정과목'!$D$6:$D$56,MATCH($E121,'계정과목'!$A$6:$A$56,0)),""))</x:f>
      </x:c>
      <x:c r="O121" s="9" t="str">
        <x:f>IF($E121="","",IF(COUNTIF('계정과목'!$A$6:$A$56,$E121)=0,"미등록","정상"))</x:f>
      </x:c>
      <x:c r="P121" s="14" t="str">
        <x:f>IF($A121="","",ROUND(SUMIFS('전표'!$F$7:$F$306,'전표'!$A$7:$A$306,$A121)-SUMIFS('전표'!$G$7:$G$306,'전표'!$A$7:$A$306,$A121),0))</x:f>
      </x:c>
      <x:c r="Q121" s="14" t="n">
        <x:f>IF(ISNUMBER($P121),IF(ABS($P121)&gt;=1,1,0),0)</x:f>
        <x:v>0</x:v>
      </x:c>
    </x:row>
    <x:row r="122">
      <x:c r="A122" s="7"/>
      <x:c r="B122" s="11"/>
      <x:c r="C122" s="7"/>
      <x:c r="D122" s="7"/>
      <x:c r="E122" s="7"/>
      <x:c r="F122" s="13"/>
      <x:c r="G122" s="13"/>
      <x:c r="H122" s="13"/>
      <x:c r="I122" s="7"/>
      <x:c r="J122" s="7"/>
      <x:c r="K122" s="9" t="str">
        <x:f>IF($B122="","",TEXT($B122,"yyyy-mm"))</x:f>
      </x:c>
      <x:c r="L122" s="9" t="str">
        <x:f>IF($E122="","",IFERROR(INDEX('계정과목'!$B$6:$B$56,MATCH($E122,'계정과목'!$A$6:$A$56,0)),"미등록"))</x:f>
      </x:c>
      <x:c r="M122" s="9" t="str">
        <x:f>IF($E122="","",IFERROR(INDEX('계정과목'!$C$6:$C$56,MATCH($E122,'계정과목'!$A$6:$A$56,0)),""))</x:f>
      </x:c>
      <x:c r="N122" s="9" t="str">
        <x:f>IF($E122="","",IFERROR(INDEX('계정과목'!$D$6:$D$56,MATCH($E122,'계정과목'!$A$6:$A$56,0)),""))</x:f>
      </x:c>
      <x:c r="O122" s="9" t="str">
        <x:f>IF($E122="","",IF(COUNTIF('계정과목'!$A$6:$A$56,$E122)=0,"미등록","정상"))</x:f>
      </x:c>
      <x:c r="P122" s="14" t="str">
        <x:f>IF($A122="","",ROUND(SUMIFS('전표'!$F$7:$F$306,'전표'!$A$7:$A$306,$A122)-SUMIFS('전표'!$G$7:$G$306,'전표'!$A$7:$A$306,$A122),0))</x:f>
      </x:c>
      <x:c r="Q122" s="14" t="n">
        <x:f>IF(ISNUMBER($P122),IF(ABS($P122)&gt;=1,1,0),0)</x:f>
        <x:v>0</x:v>
      </x:c>
    </x:row>
    <x:row r="123">
      <x:c r="A123" s="7"/>
      <x:c r="B123" s="11"/>
      <x:c r="C123" s="7"/>
      <x:c r="D123" s="7"/>
      <x:c r="E123" s="7"/>
      <x:c r="F123" s="13"/>
      <x:c r="G123" s="13"/>
      <x:c r="H123" s="13"/>
      <x:c r="I123" s="7"/>
      <x:c r="J123" s="7"/>
      <x:c r="K123" s="9" t="str">
        <x:f>IF($B123="","",TEXT($B123,"yyyy-mm"))</x:f>
      </x:c>
      <x:c r="L123" s="9" t="str">
        <x:f>IF($E123="","",IFERROR(INDEX('계정과목'!$B$6:$B$56,MATCH($E123,'계정과목'!$A$6:$A$56,0)),"미등록"))</x:f>
      </x:c>
      <x:c r="M123" s="9" t="str">
        <x:f>IF($E123="","",IFERROR(INDEX('계정과목'!$C$6:$C$56,MATCH($E123,'계정과목'!$A$6:$A$56,0)),""))</x:f>
      </x:c>
      <x:c r="N123" s="9" t="str">
        <x:f>IF($E123="","",IFERROR(INDEX('계정과목'!$D$6:$D$56,MATCH($E123,'계정과목'!$A$6:$A$56,0)),""))</x:f>
      </x:c>
      <x:c r="O123" s="9" t="str">
        <x:f>IF($E123="","",IF(COUNTIF('계정과목'!$A$6:$A$56,$E123)=0,"미등록","정상"))</x:f>
      </x:c>
      <x:c r="P123" s="14" t="str">
        <x:f>IF($A123="","",ROUND(SUMIFS('전표'!$F$7:$F$306,'전표'!$A$7:$A$306,$A123)-SUMIFS('전표'!$G$7:$G$306,'전표'!$A$7:$A$306,$A123),0))</x:f>
      </x:c>
      <x:c r="Q123" s="14" t="n">
        <x:f>IF(ISNUMBER($P123),IF(ABS($P123)&gt;=1,1,0),0)</x:f>
        <x:v>0</x:v>
      </x:c>
    </x:row>
    <x:row r="124">
      <x:c r="A124" s="7"/>
      <x:c r="B124" s="11"/>
      <x:c r="C124" s="7"/>
      <x:c r="D124" s="7"/>
      <x:c r="E124" s="7"/>
      <x:c r="F124" s="13"/>
      <x:c r="G124" s="13"/>
      <x:c r="H124" s="13"/>
      <x:c r="I124" s="7"/>
      <x:c r="J124" s="7"/>
      <x:c r="K124" s="9" t="str">
        <x:f>IF($B124="","",TEXT($B124,"yyyy-mm"))</x:f>
      </x:c>
      <x:c r="L124" s="9" t="str">
        <x:f>IF($E124="","",IFERROR(INDEX('계정과목'!$B$6:$B$56,MATCH($E124,'계정과목'!$A$6:$A$56,0)),"미등록"))</x:f>
      </x:c>
      <x:c r="M124" s="9" t="str">
        <x:f>IF($E124="","",IFERROR(INDEX('계정과목'!$C$6:$C$56,MATCH($E124,'계정과목'!$A$6:$A$56,0)),""))</x:f>
      </x:c>
      <x:c r="N124" s="9" t="str">
        <x:f>IF($E124="","",IFERROR(INDEX('계정과목'!$D$6:$D$56,MATCH($E124,'계정과목'!$A$6:$A$56,0)),""))</x:f>
      </x:c>
      <x:c r="O124" s="9" t="str">
        <x:f>IF($E124="","",IF(COUNTIF('계정과목'!$A$6:$A$56,$E124)=0,"미등록","정상"))</x:f>
      </x:c>
      <x:c r="P124" s="14" t="str">
        <x:f>IF($A124="","",ROUND(SUMIFS('전표'!$F$7:$F$306,'전표'!$A$7:$A$306,$A124)-SUMIFS('전표'!$G$7:$G$306,'전표'!$A$7:$A$306,$A124),0))</x:f>
      </x:c>
      <x:c r="Q124" s="14" t="n">
        <x:f>IF(ISNUMBER($P124),IF(ABS($P124)&gt;=1,1,0),0)</x:f>
        <x:v>0</x:v>
      </x:c>
    </x:row>
    <x:row r="125">
      <x:c r="A125" s="7"/>
      <x:c r="B125" s="11"/>
      <x:c r="C125" s="7"/>
      <x:c r="D125" s="7"/>
      <x:c r="E125" s="7"/>
      <x:c r="F125" s="13"/>
      <x:c r="G125" s="13"/>
      <x:c r="H125" s="13"/>
      <x:c r="I125" s="7"/>
      <x:c r="J125" s="7"/>
      <x:c r="K125" s="9" t="str">
        <x:f>IF($B125="","",TEXT($B125,"yyyy-mm"))</x:f>
      </x:c>
      <x:c r="L125" s="9" t="str">
        <x:f>IF($E125="","",IFERROR(INDEX('계정과목'!$B$6:$B$56,MATCH($E125,'계정과목'!$A$6:$A$56,0)),"미등록"))</x:f>
      </x:c>
      <x:c r="M125" s="9" t="str">
        <x:f>IF($E125="","",IFERROR(INDEX('계정과목'!$C$6:$C$56,MATCH($E125,'계정과목'!$A$6:$A$56,0)),""))</x:f>
      </x:c>
      <x:c r="N125" s="9" t="str">
        <x:f>IF($E125="","",IFERROR(INDEX('계정과목'!$D$6:$D$56,MATCH($E125,'계정과목'!$A$6:$A$56,0)),""))</x:f>
      </x:c>
      <x:c r="O125" s="9" t="str">
        <x:f>IF($E125="","",IF(COUNTIF('계정과목'!$A$6:$A$56,$E125)=0,"미등록","정상"))</x:f>
      </x:c>
      <x:c r="P125" s="14" t="str">
        <x:f>IF($A125="","",ROUND(SUMIFS('전표'!$F$7:$F$306,'전표'!$A$7:$A$306,$A125)-SUMIFS('전표'!$G$7:$G$306,'전표'!$A$7:$A$306,$A125),0))</x:f>
      </x:c>
      <x:c r="Q125" s="14" t="n">
        <x:f>IF(ISNUMBER($P125),IF(ABS($P125)&gt;=1,1,0),0)</x:f>
        <x:v>0</x:v>
      </x:c>
    </x:row>
    <x:row r="126">
      <x:c r="A126" s="7"/>
      <x:c r="B126" s="11"/>
      <x:c r="C126" s="7"/>
      <x:c r="D126" s="7"/>
      <x:c r="E126" s="7"/>
      <x:c r="F126" s="13"/>
      <x:c r="G126" s="13"/>
      <x:c r="H126" s="13"/>
      <x:c r="I126" s="7"/>
      <x:c r="J126" s="7"/>
      <x:c r="K126" s="9" t="str">
        <x:f>IF($B126="","",TEXT($B126,"yyyy-mm"))</x:f>
      </x:c>
      <x:c r="L126" s="9" t="str">
        <x:f>IF($E126="","",IFERROR(INDEX('계정과목'!$B$6:$B$56,MATCH($E126,'계정과목'!$A$6:$A$56,0)),"미등록"))</x:f>
      </x:c>
      <x:c r="M126" s="9" t="str">
        <x:f>IF($E126="","",IFERROR(INDEX('계정과목'!$C$6:$C$56,MATCH($E126,'계정과목'!$A$6:$A$56,0)),""))</x:f>
      </x:c>
      <x:c r="N126" s="9" t="str">
        <x:f>IF($E126="","",IFERROR(INDEX('계정과목'!$D$6:$D$56,MATCH($E126,'계정과목'!$A$6:$A$56,0)),""))</x:f>
      </x:c>
      <x:c r="O126" s="9" t="str">
        <x:f>IF($E126="","",IF(COUNTIF('계정과목'!$A$6:$A$56,$E126)=0,"미등록","정상"))</x:f>
      </x:c>
      <x:c r="P126" s="14" t="str">
        <x:f>IF($A126="","",ROUND(SUMIFS('전표'!$F$7:$F$306,'전표'!$A$7:$A$306,$A126)-SUMIFS('전표'!$G$7:$G$306,'전표'!$A$7:$A$306,$A126),0))</x:f>
      </x:c>
      <x:c r="Q126" s="14" t="n">
        <x:f>IF(ISNUMBER($P126),IF(ABS($P126)&gt;=1,1,0),0)</x:f>
        <x:v>0</x:v>
      </x:c>
    </x:row>
    <x:row r="127">
      <x:c r="A127" s="7"/>
      <x:c r="B127" s="11"/>
      <x:c r="C127" s="7"/>
      <x:c r="D127" s="7"/>
      <x:c r="E127" s="7"/>
      <x:c r="F127" s="13"/>
      <x:c r="G127" s="13"/>
      <x:c r="H127" s="13"/>
      <x:c r="I127" s="7"/>
      <x:c r="J127" s="7"/>
      <x:c r="K127" s="9" t="str">
        <x:f>IF($B127="","",TEXT($B127,"yyyy-mm"))</x:f>
      </x:c>
      <x:c r="L127" s="9" t="str">
        <x:f>IF($E127="","",IFERROR(INDEX('계정과목'!$B$6:$B$56,MATCH($E127,'계정과목'!$A$6:$A$56,0)),"미등록"))</x:f>
      </x:c>
      <x:c r="M127" s="9" t="str">
        <x:f>IF($E127="","",IFERROR(INDEX('계정과목'!$C$6:$C$56,MATCH($E127,'계정과목'!$A$6:$A$56,0)),""))</x:f>
      </x:c>
      <x:c r="N127" s="9" t="str">
        <x:f>IF($E127="","",IFERROR(INDEX('계정과목'!$D$6:$D$56,MATCH($E127,'계정과목'!$A$6:$A$56,0)),""))</x:f>
      </x:c>
      <x:c r="O127" s="9" t="str">
        <x:f>IF($E127="","",IF(COUNTIF('계정과목'!$A$6:$A$56,$E127)=0,"미등록","정상"))</x:f>
      </x:c>
      <x:c r="P127" s="14" t="str">
        <x:f>IF($A127="","",ROUND(SUMIFS('전표'!$F$7:$F$306,'전표'!$A$7:$A$306,$A127)-SUMIFS('전표'!$G$7:$G$306,'전표'!$A$7:$A$306,$A127),0))</x:f>
      </x:c>
      <x:c r="Q127" s="14" t="n">
        <x:f>IF(ISNUMBER($P127),IF(ABS($P127)&gt;=1,1,0),0)</x:f>
        <x:v>0</x:v>
      </x:c>
    </x:row>
    <x:row r="128">
      <x:c r="A128" s="7"/>
      <x:c r="B128" s="11"/>
      <x:c r="C128" s="7"/>
      <x:c r="D128" s="7"/>
      <x:c r="E128" s="7"/>
      <x:c r="F128" s="13"/>
      <x:c r="G128" s="13"/>
      <x:c r="H128" s="13"/>
      <x:c r="I128" s="7"/>
      <x:c r="J128" s="7"/>
      <x:c r="K128" s="9" t="str">
        <x:f>IF($B128="","",TEXT($B128,"yyyy-mm"))</x:f>
      </x:c>
      <x:c r="L128" s="9" t="str">
        <x:f>IF($E128="","",IFERROR(INDEX('계정과목'!$B$6:$B$56,MATCH($E128,'계정과목'!$A$6:$A$56,0)),"미등록"))</x:f>
      </x:c>
      <x:c r="M128" s="9" t="str">
        <x:f>IF($E128="","",IFERROR(INDEX('계정과목'!$C$6:$C$56,MATCH($E128,'계정과목'!$A$6:$A$56,0)),""))</x:f>
      </x:c>
      <x:c r="N128" s="9" t="str">
        <x:f>IF($E128="","",IFERROR(INDEX('계정과목'!$D$6:$D$56,MATCH($E128,'계정과목'!$A$6:$A$56,0)),""))</x:f>
      </x:c>
      <x:c r="O128" s="9" t="str">
        <x:f>IF($E128="","",IF(COUNTIF('계정과목'!$A$6:$A$56,$E128)=0,"미등록","정상"))</x:f>
      </x:c>
      <x:c r="P128" s="14" t="str">
        <x:f>IF($A128="","",ROUND(SUMIFS('전표'!$F$7:$F$306,'전표'!$A$7:$A$306,$A128)-SUMIFS('전표'!$G$7:$G$306,'전표'!$A$7:$A$306,$A128),0))</x:f>
      </x:c>
      <x:c r="Q128" s="14" t="n">
        <x:f>IF(ISNUMBER($P128),IF(ABS($P128)&gt;=1,1,0),0)</x:f>
        <x:v>0</x:v>
      </x:c>
    </x:row>
    <x:row r="129">
      <x:c r="A129" s="7"/>
      <x:c r="B129" s="11"/>
      <x:c r="C129" s="7"/>
      <x:c r="D129" s="7"/>
      <x:c r="E129" s="7"/>
      <x:c r="F129" s="13"/>
      <x:c r="G129" s="13"/>
      <x:c r="H129" s="13"/>
      <x:c r="I129" s="7"/>
      <x:c r="J129" s="7"/>
      <x:c r="K129" s="9" t="str">
        <x:f>IF($B129="","",TEXT($B129,"yyyy-mm"))</x:f>
      </x:c>
      <x:c r="L129" s="9" t="str">
        <x:f>IF($E129="","",IFERROR(INDEX('계정과목'!$B$6:$B$56,MATCH($E129,'계정과목'!$A$6:$A$56,0)),"미등록"))</x:f>
      </x:c>
      <x:c r="M129" s="9" t="str">
        <x:f>IF($E129="","",IFERROR(INDEX('계정과목'!$C$6:$C$56,MATCH($E129,'계정과목'!$A$6:$A$56,0)),""))</x:f>
      </x:c>
      <x:c r="N129" s="9" t="str">
        <x:f>IF($E129="","",IFERROR(INDEX('계정과목'!$D$6:$D$56,MATCH($E129,'계정과목'!$A$6:$A$56,0)),""))</x:f>
      </x:c>
      <x:c r="O129" s="9" t="str">
        <x:f>IF($E129="","",IF(COUNTIF('계정과목'!$A$6:$A$56,$E129)=0,"미등록","정상"))</x:f>
      </x:c>
      <x:c r="P129" s="14" t="str">
        <x:f>IF($A129="","",ROUND(SUMIFS('전표'!$F$7:$F$306,'전표'!$A$7:$A$306,$A129)-SUMIFS('전표'!$G$7:$G$306,'전표'!$A$7:$A$306,$A129),0))</x:f>
      </x:c>
      <x:c r="Q129" s="14" t="n">
        <x:f>IF(ISNUMBER($P129),IF(ABS($P129)&gt;=1,1,0),0)</x:f>
        <x:v>0</x:v>
      </x:c>
    </x:row>
    <x:row r="130">
      <x:c r="A130" s="7"/>
      <x:c r="B130" s="11"/>
      <x:c r="C130" s="7"/>
      <x:c r="D130" s="7"/>
      <x:c r="E130" s="7"/>
      <x:c r="F130" s="13"/>
      <x:c r="G130" s="13"/>
      <x:c r="H130" s="13"/>
      <x:c r="I130" s="7"/>
      <x:c r="J130" s="7"/>
      <x:c r="K130" s="9" t="str">
        <x:f>IF($B130="","",TEXT($B130,"yyyy-mm"))</x:f>
      </x:c>
      <x:c r="L130" s="9" t="str">
        <x:f>IF($E130="","",IFERROR(INDEX('계정과목'!$B$6:$B$56,MATCH($E130,'계정과목'!$A$6:$A$56,0)),"미등록"))</x:f>
      </x:c>
      <x:c r="M130" s="9" t="str">
        <x:f>IF($E130="","",IFERROR(INDEX('계정과목'!$C$6:$C$56,MATCH($E130,'계정과목'!$A$6:$A$56,0)),""))</x:f>
      </x:c>
      <x:c r="N130" s="9" t="str">
        <x:f>IF($E130="","",IFERROR(INDEX('계정과목'!$D$6:$D$56,MATCH($E130,'계정과목'!$A$6:$A$56,0)),""))</x:f>
      </x:c>
      <x:c r="O130" s="9" t="str">
        <x:f>IF($E130="","",IF(COUNTIF('계정과목'!$A$6:$A$56,$E130)=0,"미등록","정상"))</x:f>
      </x:c>
      <x:c r="P130" s="14" t="str">
        <x:f>IF($A130="","",ROUND(SUMIFS('전표'!$F$7:$F$306,'전표'!$A$7:$A$306,$A130)-SUMIFS('전표'!$G$7:$G$306,'전표'!$A$7:$A$306,$A130),0))</x:f>
      </x:c>
      <x:c r="Q130" s="14" t="n">
        <x:f>IF(ISNUMBER($P130),IF(ABS($P130)&gt;=1,1,0),0)</x:f>
        <x:v>0</x:v>
      </x:c>
    </x:row>
    <x:row r="131">
      <x:c r="A131" s="7"/>
      <x:c r="B131" s="11"/>
      <x:c r="C131" s="7"/>
      <x:c r="D131" s="7"/>
      <x:c r="E131" s="7"/>
      <x:c r="F131" s="13"/>
      <x:c r="G131" s="13"/>
      <x:c r="H131" s="13"/>
      <x:c r="I131" s="7"/>
      <x:c r="J131" s="7"/>
      <x:c r="K131" s="9" t="str">
        <x:f>IF($B131="","",TEXT($B131,"yyyy-mm"))</x:f>
      </x:c>
      <x:c r="L131" s="9" t="str">
        <x:f>IF($E131="","",IFERROR(INDEX('계정과목'!$B$6:$B$56,MATCH($E131,'계정과목'!$A$6:$A$56,0)),"미등록"))</x:f>
      </x:c>
      <x:c r="M131" s="9" t="str">
        <x:f>IF($E131="","",IFERROR(INDEX('계정과목'!$C$6:$C$56,MATCH($E131,'계정과목'!$A$6:$A$56,0)),""))</x:f>
      </x:c>
      <x:c r="N131" s="9" t="str">
        <x:f>IF($E131="","",IFERROR(INDEX('계정과목'!$D$6:$D$56,MATCH($E131,'계정과목'!$A$6:$A$56,0)),""))</x:f>
      </x:c>
      <x:c r="O131" s="9" t="str">
        <x:f>IF($E131="","",IF(COUNTIF('계정과목'!$A$6:$A$56,$E131)=0,"미등록","정상"))</x:f>
      </x:c>
      <x:c r="P131" s="14" t="str">
        <x:f>IF($A131="","",ROUND(SUMIFS('전표'!$F$7:$F$306,'전표'!$A$7:$A$306,$A131)-SUMIFS('전표'!$G$7:$G$306,'전표'!$A$7:$A$306,$A131),0))</x:f>
      </x:c>
      <x:c r="Q131" s="14" t="n">
        <x:f>IF(ISNUMBER($P131),IF(ABS($P131)&gt;=1,1,0),0)</x:f>
        <x:v>0</x:v>
      </x:c>
    </x:row>
    <x:row r="132">
      <x:c r="A132" s="7"/>
      <x:c r="B132" s="11"/>
      <x:c r="C132" s="7"/>
      <x:c r="D132" s="7"/>
      <x:c r="E132" s="7"/>
      <x:c r="F132" s="13"/>
      <x:c r="G132" s="13"/>
      <x:c r="H132" s="13"/>
      <x:c r="I132" s="7"/>
      <x:c r="J132" s="7"/>
      <x:c r="K132" s="9" t="str">
        <x:f>IF($B132="","",TEXT($B132,"yyyy-mm"))</x:f>
      </x:c>
      <x:c r="L132" s="9" t="str">
        <x:f>IF($E132="","",IFERROR(INDEX('계정과목'!$B$6:$B$56,MATCH($E132,'계정과목'!$A$6:$A$56,0)),"미등록"))</x:f>
      </x:c>
      <x:c r="M132" s="9" t="str">
        <x:f>IF($E132="","",IFERROR(INDEX('계정과목'!$C$6:$C$56,MATCH($E132,'계정과목'!$A$6:$A$56,0)),""))</x:f>
      </x:c>
      <x:c r="N132" s="9" t="str">
        <x:f>IF($E132="","",IFERROR(INDEX('계정과목'!$D$6:$D$56,MATCH($E132,'계정과목'!$A$6:$A$56,0)),""))</x:f>
      </x:c>
      <x:c r="O132" s="9" t="str">
        <x:f>IF($E132="","",IF(COUNTIF('계정과목'!$A$6:$A$56,$E132)=0,"미등록","정상"))</x:f>
      </x:c>
      <x:c r="P132" s="14" t="str">
        <x:f>IF($A132="","",ROUND(SUMIFS('전표'!$F$7:$F$306,'전표'!$A$7:$A$306,$A132)-SUMIFS('전표'!$G$7:$G$306,'전표'!$A$7:$A$306,$A132),0))</x:f>
      </x:c>
      <x:c r="Q132" s="14" t="n">
        <x:f>IF(ISNUMBER($P132),IF(ABS($P132)&gt;=1,1,0),0)</x:f>
        <x:v>0</x:v>
      </x:c>
    </x:row>
    <x:row r="133">
      <x:c r="A133" s="7"/>
      <x:c r="B133" s="11"/>
      <x:c r="C133" s="7"/>
      <x:c r="D133" s="7"/>
      <x:c r="E133" s="7"/>
      <x:c r="F133" s="13"/>
      <x:c r="G133" s="13"/>
      <x:c r="H133" s="13"/>
      <x:c r="I133" s="7"/>
      <x:c r="J133" s="7"/>
      <x:c r="K133" s="9" t="str">
        <x:f>IF($B133="","",TEXT($B133,"yyyy-mm"))</x:f>
      </x:c>
      <x:c r="L133" s="9" t="str">
        <x:f>IF($E133="","",IFERROR(INDEX('계정과목'!$B$6:$B$56,MATCH($E133,'계정과목'!$A$6:$A$56,0)),"미등록"))</x:f>
      </x:c>
      <x:c r="M133" s="9" t="str">
        <x:f>IF($E133="","",IFERROR(INDEX('계정과목'!$C$6:$C$56,MATCH($E133,'계정과목'!$A$6:$A$56,0)),""))</x:f>
      </x:c>
      <x:c r="N133" s="9" t="str">
        <x:f>IF($E133="","",IFERROR(INDEX('계정과목'!$D$6:$D$56,MATCH($E133,'계정과목'!$A$6:$A$56,0)),""))</x:f>
      </x:c>
      <x:c r="O133" s="9" t="str">
        <x:f>IF($E133="","",IF(COUNTIF('계정과목'!$A$6:$A$56,$E133)=0,"미등록","정상"))</x:f>
      </x:c>
      <x:c r="P133" s="14" t="str">
        <x:f>IF($A133="","",ROUND(SUMIFS('전표'!$F$7:$F$306,'전표'!$A$7:$A$306,$A133)-SUMIFS('전표'!$G$7:$G$306,'전표'!$A$7:$A$306,$A133),0))</x:f>
      </x:c>
      <x:c r="Q133" s="14" t="n">
        <x:f>IF(ISNUMBER($P133),IF(ABS($P133)&gt;=1,1,0),0)</x:f>
        <x:v>0</x:v>
      </x:c>
    </x:row>
    <x:row r="134">
      <x:c r="A134" s="7"/>
      <x:c r="B134" s="11"/>
      <x:c r="C134" s="7"/>
      <x:c r="D134" s="7"/>
      <x:c r="E134" s="7"/>
      <x:c r="F134" s="13"/>
      <x:c r="G134" s="13"/>
      <x:c r="H134" s="13"/>
      <x:c r="I134" s="7"/>
      <x:c r="J134" s="7"/>
      <x:c r="K134" s="9" t="str">
        <x:f>IF($B134="","",TEXT($B134,"yyyy-mm"))</x:f>
      </x:c>
      <x:c r="L134" s="9" t="str">
        <x:f>IF($E134="","",IFERROR(INDEX('계정과목'!$B$6:$B$56,MATCH($E134,'계정과목'!$A$6:$A$56,0)),"미등록"))</x:f>
      </x:c>
      <x:c r="M134" s="9" t="str">
        <x:f>IF($E134="","",IFERROR(INDEX('계정과목'!$C$6:$C$56,MATCH($E134,'계정과목'!$A$6:$A$56,0)),""))</x:f>
      </x:c>
      <x:c r="N134" s="9" t="str">
        <x:f>IF($E134="","",IFERROR(INDEX('계정과목'!$D$6:$D$56,MATCH($E134,'계정과목'!$A$6:$A$56,0)),""))</x:f>
      </x:c>
      <x:c r="O134" s="9" t="str">
        <x:f>IF($E134="","",IF(COUNTIF('계정과목'!$A$6:$A$56,$E134)=0,"미등록","정상"))</x:f>
      </x:c>
      <x:c r="P134" s="14" t="str">
        <x:f>IF($A134="","",ROUND(SUMIFS('전표'!$F$7:$F$306,'전표'!$A$7:$A$306,$A134)-SUMIFS('전표'!$G$7:$G$306,'전표'!$A$7:$A$306,$A134),0))</x:f>
      </x:c>
      <x:c r="Q134" s="14" t="n">
        <x:f>IF(ISNUMBER($P134),IF(ABS($P134)&gt;=1,1,0),0)</x:f>
        <x:v>0</x:v>
      </x:c>
    </x:row>
    <x:row r="135">
      <x:c r="A135" s="7"/>
      <x:c r="B135" s="11"/>
      <x:c r="C135" s="7"/>
      <x:c r="D135" s="7"/>
      <x:c r="E135" s="7"/>
      <x:c r="F135" s="13"/>
      <x:c r="G135" s="13"/>
      <x:c r="H135" s="13"/>
      <x:c r="I135" s="7"/>
      <x:c r="J135" s="7"/>
      <x:c r="K135" s="9" t="str">
        <x:f>IF($B135="","",TEXT($B135,"yyyy-mm"))</x:f>
      </x:c>
      <x:c r="L135" s="9" t="str">
        <x:f>IF($E135="","",IFERROR(INDEX('계정과목'!$B$6:$B$56,MATCH($E135,'계정과목'!$A$6:$A$56,0)),"미등록"))</x:f>
      </x:c>
      <x:c r="M135" s="9" t="str">
        <x:f>IF($E135="","",IFERROR(INDEX('계정과목'!$C$6:$C$56,MATCH($E135,'계정과목'!$A$6:$A$56,0)),""))</x:f>
      </x:c>
      <x:c r="N135" s="9" t="str">
        <x:f>IF($E135="","",IFERROR(INDEX('계정과목'!$D$6:$D$56,MATCH($E135,'계정과목'!$A$6:$A$56,0)),""))</x:f>
      </x:c>
      <x:c r="O135" s="9" t="str">
        <x:f>IF($E135="","",IF(COUNTIF('계정과목'!$A$6:$A$56,$E135)=0,"미등록","정상"))</x:f>
      </x:c>
      <x:c r="P135" s="14" t="str">
        <x:f>IF($A135="","",ROUND(SUMIFS('전표'!$F$7:$F$306,'전표'!$A$7:$A$306,$A135)-SUMIFS('전표'!$G$7:$G$306,'전표'!$A$7:$A$306,$A135),0))</x:f>
      </x:c>
      <x:c r="Q135" s="14" t="n">
        <x:f>IF(ISNUMBER($P135),IF(ABS($P135)&gt;=1,1,0),0)</x:f>
        <x:v>0</x:v>
      </x:c>
    </x:row>
    <x:row r="136">
      <x:c r="A136" s="7"/>
      <x:c r="B136" s="11"/>
      <x:c r="C136" s="7"/>
      <x:c r="D136" s="7"/>
      <x:c r="E136" s="7"/>
      <x:c r="F136" s="13"/>
      <x:c r="G136" s="13"/>
      <x:c r="H136" s="13"/>
      <x:c r="I136" s="7"/>
      <x:c r="J136" s="7"/>
      <x:c r="K136" s="9" t="str">
        <x:f>IF($B136="","",TEXT($B136,"yyyy-mm"))</x:f>
      </x:c>
      <x:c r="L136" s="9" t="str">
        <x:f>IF($E136="","",IFERROR(INDEX('계정과목'!$B$6:$B$56,MATCH($E136,'계정과목'!$A$6:$A$56,0)),"미등록"))</x:f>
      </x:c>
      <x:c r="M136" s="9" t="str">
        <x:f>IF($E136="","",IFERROR(INDEX('계정과목'!$C$6:$C$56,MATCH($E136,'계정과목'!$A$6:$A$56,0)),""))</x:f>
      </x:c>
      <x:c r="N136" s="9" t="str">
        <x:f>IF($E136="","",IFERROR(INDEX('계정과목'!$D$6:$D$56,MATCH($E136,'계정과목'!$A$6:$A$56,0)),""))</x:f>
      </x:c>
      <x:c r="O136" s="9" t="str">
        <x:f>IF($E136="","",IF(COUNTIF('계정과목'!$A$6:$A$56,$E136)=0,"미등록","정상"))</x:f>
      </x:c>
      <x:c r="P136" s="14" t="str">
        <x:f>IF($A136="","",ROUND(SUMIFS('전표'!$F$7:$F$306,'전표'!$A$7:$A$306,$A136)-SUMIFS('전표'!$G$7:$G$306,'전표'!$A$7:$A$306,$A136),0))</x:f>
      </x:c>
      <x:c r="Q136" s="14" t="n">
        <x:f>IF(ISNUMBER($P136),IF(ABS($P136)&gt;=1,1,0),0)</x:f>
        <x:v>0</x:v>
      </x:c>
    </x:row>
    <x:row r="137">
      <x:c r="A137" s="7"/>
      <x:c r="B137" s="11"/>
      <x:c r="C137" s="7"/>
      <x:c r="D137" s="7"/>
      <x:c r="E137" s="7"/>
      <x:c r="F137" s="13"/>
      <x:c r="G137" s="13"/>
      <x:c r="H137" s="13"/>
      <x:c r="I137" s="7"/>
      <x:c r="J137" s="7"/>
      <x:c r="K137" s="9" t="str">
        <x:f>IF($B137="","",TEXT($B137,"yyyy-mm"))</x:f>
      </x:c>
      <x:c r="L137" s="9" t="str">
        <x:f>IF($E137="","",IFERROR(INDEX('계정과목'!$B$6:$B$56,MATCH($E137,'계정과목'!$A$6:$A$56,0)),"미등록"))</x:f>
      </x:c>
      <x:c r="M137" s="9" t="str">
        <x:f>IF($E137="","",IFERROR(INDEX('계정과목'!$C$6:$C$56,MATCH($E137,'계정과목'!$A$6:$A$56,0)),""))</x:f>
      </x:c>
      <x:c r="N137" s="9" t="str">
        <x:f>IF($E137="","",IFERROR(INDEX('계정과목'!$D$6:$D$56,MATCH($E137,'계정과목'!$A$6:$A$56,0)),""))</x:f>
      </x:c>
      <x:c r="O137" s="9" t="str">
        <x:f>IF($E137="","",IF(COUNTIF('계정과목'!$A$6:$A$56,$E137)=0,"미등록","정상"))</x:f>
      </x:c>
      <x:c r="P137" s="14" t="str">
        <x:f>IF($A137="","",ROUND(SUMIFS('전표'!$F$7:$F$306,'전표'!$A$7:$A$306,$A137)-SUMIFS('전표'!$G$7:$G$306,'전표'!$A$7:$A$306,$A137),0))</x:f>
      </x:c>
      <x:c r="Q137" s="14" t="n">
        <x:f>IF(ISNUMBER($P137),IF(ABS($P137)&gt;=1,1,0),0)</x:f>
        <x:v>0</x:v>
      </x:c>
    </x:row>
    <x:row r="138">
      <x:c r="A138" s="7"/>
      <x:c r="B138" s="11"/>
      <x:c r="C138" s="7"/>
      <x:c r="D138" s="7"/>
      <x:c r="E138" s="7"/>
      <x:c r="F138" s="13"/>
      <x:c r="G138" s="13"/>
      <x:c r="H138" s="13"/>
      <x:c r="I138" s="7"/>
      <x:c r="J138" s="7"/>
      <x:c r="K138" s="9" t="str">
        <x:f>IF($B138="","",TEXT($B138,"yyyy-mm"))</x:f>
      </x:c>
      <x:c r="L138" s="9" t="str">
        <x:f>IF($E138="","",IFERROR(INDEX('계정과목'!$B$6:$B$56,MATCH($E138,'계정과목'!$A$6:$A$56,0)),"미등록"))</x:f>
      </x:c>
      <x:c r="M138" s="9" t="str">
        <x:f>IF($E138="","",IFERROR(INDEX('계정과목'!$C$6:$C$56,MATCH($E138,'계정과목'!$A$6:$A$56,0)),""))</x:f>
      </x:c>
      <x:c r="N138" s="9" t="str">
        <x:f>IF($E138="","",IFERROR(INDEX('계정과목'!$D$6:$D$56,MATCH($E138,'계정과목'!$A$6:$A$56,0)),""))</x:f>
      </x:c>
      <x:c r="O138" s="9" t="str">
        <x:f>IF($E138="","",IF(COUNTIF('계정과목'!$A$6:$A$56,$E138)=0,"미등록","정상"))</x:f>
      </x:c>
      <x:c r="P138" s="14" t="str">
        <x:f>IF($A138="","",ROUND(SUMIFS('전표'!$F$7:$F$306,'전표'!$A$7:$A$306,$A138)-SUMIFS('전표'!$G$7:$G$306,'전표'!$A$7:$A$306,$A138),0))</x:f>
      </x:c>
      <x:c r="Q138" s="14" t="n">
        <x:f>IF(ISNUMBER($P138),IF(ABS($P138)&gt;=1,1,0),0)</x:f>
        <x:v>0</x:v>
      </x:c>
    </x:row>
    <x:row r="139">
      <x:c r="A139" s="7"/>
      <x:c r="B139" s="11"/>
      <x:c r="C139" s="7"/>
      <x:c r="D139" s="7"/>
      <x:c r="E139" s="7"/>
      <x:c r="F139" s="13"/>
      <x:c r="G139" s="13"/>
      <x:c r="H139" s="13"/>
      <x:c r="I139" s="7"/>
      <x:c r="J139" s="7"/>
      <x:c r="K139" s="9" t="str">
        <x:f>IF($B139="","",TEXT($B139,"yyyy-mm"))</x:f>
      </x:c>
      <x:c r="L139" s="9" t="str">
        <x:f>IF($E139="","",IFERROR(INDEX('계정과목'!$B$6:$B$56,MATCH($E139,'계정과목'!$A$6:$A$56,0)),"미등록"))</x:f>
      </x:c>
      <x:c r="M139" s="9" t="str">
        <x:f>IF($E139="","",IFERROR(INDEX('계정과목'!$C$6:$C$56,MATCH($E139,'계정과목'!$A$6:$A$56,0)),""))</x:f>
      </x:c>
      <x:c r="N139" s="9" t="str">
        <x:f>IF($E139="","",IFERROR(INDEX('계정과목'!$D$6:$D$56,MATCH($E139,'계정과목'!$A$6:$A$56,0)),""))</x:f>
      </x:c>
      <x:c r="O139" s="9" t="str">
        <x:f>IF($E139="","",IF(COUNTIF('계정과목'!$A$6:$A$56,$E139)=0,"미등록","정상"))</x:f>
      </x:c>
      <x:c r="P139" s="14" t="str">
        <x:f>IF($A139="","",ROUND(SUMIFS('전표'!$F$7:$F$306,'전표'!$A$7:$A$306,$A139)-SUMIFS('전표'!$G$7:$G$306,'전표'!$A$7:$A$306,$A139),0))</x:f>
      </x:c>
      <x:c r="Q139" s="14" t="n">
        <x:f>IF(ISNUMBER($P139),IF(ABS($P139)&gt;=1,1,0),0)</x:f>
        <x:v>0</x:v>
      </x:c>
    </x:row>
    <x:row r="140">
      <x:c r="A140" s="7"/>
      <x:c r="B140" s="11"/>
      <x:c r="C140" s="7"/>
      <x:c r="D140" s="7"/>
      <x:c r="E140" s="7"/>
      <x:c r="F140" s="13"/>
      <x:c r="G140" s="13"/>
      <x:c r="H140" s="13"/>
      <x:c r="I140" s="7"/>
      <x:c r="J140" s="7"/>
      <x:c r="K140" s="9" t="str">
        <x:f>IF($B140="","",TEXT($B140,"yyyy-mm"))</x:f>
      </x:c>
      <x:c r="L140" s="9" t="str">
        <x:f>IF($E140="","",IFERROR(INDEX('계정과목'!$B$6:$B$56,MATCH($E140,'계정과목'!$A$6:$A$56,0)),"미등록"))</x:f>
      </x:c>
      <x:c r="M140" s="9" t="str">
        <x:f>IF($E140="","",IFERROR(INDEX('계정과목'!$C$6:$C$56,MATCH($E140,'계정과목'!$A$6:$A$56,0)),""))</x:f>
      </x:c>
      <x:c r="N140" s="9" t="str">
        <x:f>IF($E140="","",IFERROR(INDEX('계정과목'!$D$6:$D$56,MATCH($E140,'계정과목'!$A$6:$A$56,0)),""))</x:f>
      </x:c>
      <x:c r="O140" s="9" t="str">
        <x:f>IF($E140="","",IF(COUNTIF('계정과목'!$A$6:$A$56,$E140)=0,"미등록","정상"))</x:f>
      </x:c>
      <x:c r="P140" s="14" t="str">
        <x:f>IF($A140="","",ROUND(SUMIFS('전표'!$F$7:$F$306,'전표'!$A$7:$A$306,$A140)-SUMIFS('전표'!$G$7:$G$306,'전표'!$A$7:$A$306,$A140),0))</x:f>
      </x:c>
      <x:c r="Q140" s="14" t="n">
        <x:f>IF(ISNUMBER($P140),IF(ABS($P140)&gt;=1,1,0),0)</x:f>
        <x:v>0</x:v>
      </x:c>
    </x:row>
    <x:row r="141">
      <x:c r="A141" s="7"/>
      <x:c r="B141" s="11"/>
      <x:c r="C141" s="7"/>
      <x:c r="D141" s="7"/>
      <x:c r="E141" s="7"/>
      <x:c r="F141" s="13"/>
      <x:c r="G141" s="13"/>
      <x:c r="H141" s="13"/>
      <x:c r="I141" s="7"/>
      <x:c r="J141" s="7"/>
      <x:c r="K141" s="9" t="str">
        <x:f>IF($B141="","",TEXT($B141,"yyyy-mm"))</x:f>
      </x:c>
      <x:c r="L141" s="9" t="str">
        <x:f>IF($E141="","",IFERROR(INDEX('계정과목'!$B$6:$B$56,MATCH($E141,'계정과목'!$A$6:$A$56,0)),"미등록"))</x:f>
      </x:c>
      <x:c r="M141" s="9" t="str">
        <x:f>IF($E141="","",IFERROR(INDEX('계정과목'!$C$6:$C$56,MATCH($E141,'계정과목'!$A$6:$A$56,0)),""))</x:f>
      </x:c>
      <x:c r="N141" s="9" t="str">
        <x:f>IF($E141="","",IFERROR(INDEX('계정과목'!$D$6:$D$56,MATCH($E141,'계정과목'!$A$6:$A$56,0)),""))</x:f>
      </x:c>
      <x:c r="O141" s="9" t="str">
        <x:f>IF($E141="","",IF(COUNTIF('계정과목'!$A$6:$A$56,$E141)=0,"미등록","정상"))</x:f>
      </x:c>
      <x:c r="P141" s="14" t="str">
        <x:f>IF($A141="","",ROUND(SUMIFS('전표'!$F$7:$F$306,'전표'!$A$7:$A$306,$A141)-SUMIFS('전표'!$G$7:$G$306,'전표'!$A$7:$A$306,$A141),0))</x:f>
      </x:c>
      <x:c r="Q141" s="14" t="n">
        <x:f>IF(ISNUMBER($P141),IF(ABS($P141)&gt;=1,1,0),0)</x:f>
        <x:v>0</x:v>
      </x:c>
    </x:row>
    <x:row r="142">
      <x:c r="A142" s="7"/>
      <x:c r="B142" s="11"/>
      <x:c r="C142" s="7"/>
      <x:c r="D142" s="7"/>
      <x:c r="E142" s="7"/>
      <x:c r="F142" s="13"/>
      <x:c r="G142" s="13"/>
      <x:c r="H142" s="13"/>
      <x:c r="I142" s="7"/>
      <x:c r="J142" s="7"/>
      <x:c r="K142" s="9" t="str">
        <x:f>IF($B142="","",TEXT($B142,"yyyy-mm"))</x:f>
      </x:c>
      <x:c r="L142" s="9" t="str">
        <x:f>IF($E142="","",IFERROR(INDEX('계정과목'!$B$6:$B$56,MATCH($E142,'계정과목'!$A$6:$A$56,0)),"미등록"))</x:f>
      </x:c>
      <x:c r="M142" s="9" t="str">
        <x:f>IF($E142="","",IFERROR(INDEX('계정과목'!$C$6:$C$56,MATCH($E142,'계정과목'!$A$6:$A$56,0)),""))</x:f>
      </x:c>
      <x:c r="N142" s="9" t="str">
        <x:f>IF($E142="","",IFERROR(INDEX('계정과목'!$D$6:$D$56,MATCH($E142,'계정과목'!$A$6:$A$56,0)),""))</x:f>
      </x:c>
      <x:c r="O142" s="9" t="str">
        <x:f>IF($E142="","",IF(COUNTIF('계정과목'!$A$6:$A$56,$E142)=0,"미등록","정상"))</x:f>
      </x:c>
      <x:c r="P142" s="14" t="str">
        <x:f>IF($A142="","",ROUND(SUMIFS('전표'!$F$7:$F$306,'전표'!$A$7:$A$306,$A142)-SUMIFS('전표'!$G$7:$G$306,'전표'!$A$7:$A$306,$A142),0))</x:f>
      </x:c>
      <x:c r="Q142" s="14" t="n">
        <x:f>IF(ISNUMBER($P142),IF(ABS($P142)&gt;=1,1,0),0)</x:f>
        <x:v>0</x:v>
      </x:c>
    </x:row>
    <x:row r="143">
      <x:c r="A143" s="7"/>
      <x:c r="B143" s="11"/>
      <x:c r="C143" s="7"/>
      <x:c r="D143" s="7"/>
      <x:c r="E143" s="7"/>
      <x:c r="F143" s="13"/>
      <x:c r="G143" s="13"/>
      <x:c r="H143" s="13"/>
      <x:c r="I143" s="7"/>
      <x:c r="J143" s="7"/>
      <x:c r="K143" s="9" t="str">
        <x:f>IF($B143="","",TEXT($B143,"yyyy-mm"))</x:f>
      </x:c>
      <x:c r="L143" s="9" t="str">
        <x:f>IF($E143="","",IFERROR(INDEX('계정과목'!$B$6:$B$56,MATCH($E143,'계정과목'!$A$6:$A$56,0)),"미등록"))</x:f>
      </x:c>
      <x:c r="M143" s="9" t="str">
        <x:f>IF($E143="","",IFERROR(INDEX('계정과목'!$C$6:$C$56,MATCH($E143,'계정과목'!$A$6:$A$56,0)),""))</x:f>
      </x:c>
      <x:c r="N143" s="9" t="str">
        <x:f>IF($E143="","",IFERROR(INDEX('계정과목'!$D$6:$D$56,MATCH($E143,'계정과목'!$A$6:$A$56,0)),""))</x:f>
      </x:c>
      <x:c r="O143" s="9" t="str">
        <x:f>IF($E143="","",IF(COUNTIF('계정과목'!$A$6:$A$56,$E143)=0,"미등록","정상"))</x:f>
      </x:c>
      <x:c r="P143" s="14" t="str">
        <x:f>IF($A143="","",ROUND(SUMIFS('전표'!$F$7:$F$306,'전표'!$A$7:$A$306,$A143)-SUMIFS('전표'!$G$7:$G$306,'전표'!$A$7:$A$306,$A143),0))</x:f>
      </x:c>
      <x:c r="Q143" s="14" t="n">
        <x:f>IF(ISNUMBER($P143),IF(ABS($P143)&gt;=1,1,0),0)</x:f>
        <x:v>0</x:v>
      </x:c>
    </x:row>
    <x:row r="144">
      <x:c r="A144" s="7"/>
      <x:c r="B144" s="11"/>
      <x:c r="C144" s="7"/>
      <x:c r="D144" s="7"/>
      <x:c r="E144" s="7"/>
      <x:c r="F144" s="13"/>
      <x:c r="G144" s="13"/>
      <x:c r="H144" s="13"/>
      <x:c r="I144" s="7"/>
      <x:c r="J144" s="7"/>
      <x:c r="K144" s="9" t="str">
        <x:f>IF($B144="","",TEXT($B144,"yyyy-mm"))</x:f>
      </x:c>
      <x:c r="L144" s="9" t="str">
        <x:f>IF($E144="","",IFERROR(INDEX('계정과목'!$B$6:$B$56,MATCH($E144,'계정과목'!$A$6:$A$56,0)),"미등록"))</x:f>
      </x:c>
      <x:c r="M144" s="9" t="str">
        <x:f>IF($E144="","",IFERROR(INDEX('계정과목'!$C$6:$C$56,MATCH($E144,'계정과목'!$A$6:$A$56,0)),""))</x:f>
      </x:c>
      <x:c r="N144" s="9" t="str">
        <x:f>IF($E144="","",IFERROR(INDEX('계정과목'!$D$6:$D$56,MATCH($E144,'계정과목'!$A$6:$A$56,0)),""))</x:f>
      </x:c>
      <x:c r="O144" s="9" t="str">
        <x:f>IF($E144="","",IF(COUNTIF('계정과목'!$A$6:$A$56,$E144)=0,"미등록","정상"))</x:f>
      </x:c>
      <x:c r="P144" s="14" t="str">
        <x:f>IF($A144="","",ROUND(SUMIFS('전표'!$F$7:$F$306,'전표'!$A$7:$A$306,$A144)-SUMIFS('전표'!$G$7:$G$306,'전표'!$A$7:$A$306,$A144),0))</x:f>
      </x:c>
      <x:c r="Q144" s="14" t="n">
        <x:f>IF(ISNUMBER($P144),IF(ABS($P144)&gt;=1,1,0),0)</x:f>
        <x:v>0</x:v>
      </x:c>
    </x:row>
    <x:row r="145">
      <x:c r="A145" s="7"/>
      <x:c r="B145" s="11"/>
      <x:c r="C145" s="7"/>
      <x:c r="D145" s="7"/>
      <x:c r="E145" s="7"/>
      <x:c r="F145" s="13"/>
      <x:c r="G145" s="13"/>
      <x:c r="H145" s="13"/>
      <x:c r="I145" s="7"/>
      <x:c r="J145" s="7"/>
      <x:c r="K145" s="9" t="str">
        <x:f>IF($B145="","",TEXT($B145,"yyyy-mm"))</x:f>
      </x:c>
      <x:c r="L145" s="9" t="str">
        <x:f>IF($E145="","",IFERROR(INDEX('계정과목'!$B$6:$B$56,MATCH($E145,'계정과목'!$A$6:$A$56,0)),"미등록"))</x:f>
      </x:c>
      <x:c r="M145" s="9" t="str">
        <x:f>IF($E145="","",IFERROR(INDEX('계정과목'!$C$6:$C$56,MATCH($E145,'계정과목'!$A$6:$A$56,0)),""))</x:f>
      </x:c>
      <x:c r="N145" s="9" t="str">
        <x:f>IF($E145="","",IFERROR(INDEX('계정과목'!$D$6:$D$56,MATCH($E145,'계정과목'!$A$6:$A$56,0)),""))</x:f>
      </x:c>
      <x:c r="O145" s="9" t="str">
        <x:f>IF($E145="","",IF(COUNTIF('계정과목'!$A$6:$A$56,$E145)=0,"미등록","정상"))</x:f>
      </x:c>
      <x:c r="P145" s="14" t="str">
        <x:f>IF($A145="","",ROUND(SUMIFS('전표'!$F$7:$F$306,'전표'!$A$7:$A$306,$A145)-SUMIFS('전표'!$G$7:$G$306,'전표'!$A$7:$A$306,$A145),0))</x:f>
      </x:c>
      <x:c r="Q145" s="14" t="n">
        <x:f>IF(ISNUMBER($P145),IF(ABS($P145)&gt;=1,1,0),0)</x:f>
        <x:v>0</x:v>
      </x:c>
    </x:row>
    <x:row r="146">
      <x:c r="A146" s="7"/>
      <x:c r="B146" s="11"/>
      <x:c r="C146" s="7"/>
      <x:c r="D146" s="7"/>
      <x:c r="E146" s="7"/>
      <x:c r="F146" s="13"/>
      <x:c r="G146" s="13"/>
      <x:c r="H146" s="13"/>
      <x:c r="I146" s="7"/>
      <x:c r="J146" s="7"/>
      <x:c r="K146" s="9" t="str">
        <x:f>IF($B146="","",TEXT($B146,"yyyy-mm"))</x:f>
      </x:c>
      <x:c r="L146" s="9" t="str">
        <x:f>IF($E146="","",IFERROR(INDEX('계정과목'!$B$6:$B$56,MATCH($E146,'계정과목'!$A$6:$A$56,0)),"미등록"))</x:f>
      </x:c>
      <x:c r="M146" s="9" t="str">
        <x:f>IF($E146="","",IFERROR(INDEX('계정과목'!$C$6:$C$56,MATCH($E146,'계정과목'!$A$6:$A$56,0)),""))</x:f>
      </x:c>
      <x:c r="N146" s="9" t="str">
        <x:f>IF($E146="","",IFERROR(INDEX('계정과목'!$D$6:$D$56,MATCH($E146,'계정과목'!$A$6:$A$56,0)),""))</x:f>
      </x:c>
      <x:c r="O146" s="9" t="str">
        <x:f>IF($E146="","",IF(COUNTIF('계정과목'!$A$6:$A$56,$E146)=0,"미등록","정상"))</x:f>
      </x:c>
      <x:c r="P146" s="14" t="str">
        <x:f>IF($A146="","",ROUND(SUMIFS('전표'!$F$7:$F$306,'전표'!$A$7:$A$306,$A146)-SUMIFS('전표'!$G$7:$G$306,'전표'!$A$7:$A$306,$A146),0))</x:f>
      </x:c>
      <x:c r="Q146" s="14" t="n">
        <x:f>IF(ISNUMBER($P146),IF(ABS($P146)&gt;=1,1,0),0)</x:f>
        <x:v>0</x:v>
      </x:c>
    </x:row>
    <x:row r="147">
      <x:c r="A147" s="7"/>
      <x:c r="B147" s="11"/>
      <x:c r="C147" s="7"/>
      <x:c r="D147" s="7"/>
      <x:c r="E147" s="7"/>
      <x:c r="F147" s="13"/>
      <x:c r="G147" s="13"/>
      <x:c r="H147" s="13"/>
      <x:c r="I147" s="7"/>
      <x:c r="J147" s="7"/>
      <x:c r="K147" s="9" t="str">
        <x:f>IF($B147="","",TEXT($B147,"yyyy-mm"))</x:f>
      </x:c>
      <x:c r="L147" s="9" t="str">
        <x:f>IF($E147="","",IFERROR(INDEX('계정과목'!$B$6:$B$56,MATCH($E147,'계정과목'!$A$6:$A$56,0)),"미등록"))</x:f>
      </x:c>
      <x:c r="M147" s="9" t="str">
        <x:f>IF($E147="","",IFERROR(INDEX('계정과목'!$C$6:$C$56,MATCH($E147,'계정과목'!$A$6:$A$56,0)),""))</x:f>
      </x:c>
      <x:c r="N147" s="9" t="str">
        <x:f>IF($E147="","",IFERROR(INDEX('계정과목'!$D$6:$D$56,MATCH($E147,'계정과목'!$A$6:$A$56,0)),""))</x:f>
      </x:c>
      <x:c r="O147" s="9" t="str">
        <x:f>IF($E147="","",IF(COUNTIF('계정과목'!$A$6:$A$56,$E147)=0,"미등록","정상"))</x:f>
      </x:c>
      <x:c r="P147" s="14" t="str">
        <x:f>IF($A147="","",ROUND(SUMIFS('전표'!$F$7:$F$306,'전표'!$A$7:$A$306,$A147)-SUMIFS('전표'!$G$7:$G$306,'전표'!$A$7:$A$306,$A147),0))</x:f>
      </x:c>
      <x:c r="Q147" s="14" t="n">
        <x:f>IF(ISNUMBER($P147),IF(ABS($P147)&gt;=1,1,0),0)</x:f>
        <x:v>0</x:v>
      </x:c>
    </x:row>
    <x:row r="148">
      <x:c r="A148" s="7"/>
      <x:c r="B148" s="11"/>
      <x:c r="C148" s="7"/>
      <x:c r="D148" s="7"/>
      <x:c r="E148" s="7"/>
      <x:c r="F148" s="13"/>
      <x:c r="G148" s="13"/>
      <x:c r="H148" s="13"/>
      <x:c r="I148" s="7"/>
      <x:c r="J148" s="7"/>
      <x:c r="K148" s="9" t="str">
        <x:f>IF($B148="","",TEXT($B148,"yyyy-mm"))</x:f>
      </x:c>
      <x:c r="L148" s="9" t="str">
        <x:f>IF($E148="","",IFERROR(INDEX('계정과목'!$B$6:$B$56,MATCH($E148,'계정과목'!$A$6:$A$56,0)),"미등록"))</x:f>
      </x:c>
      <x:c r="M148" s="9" t="str">
        <x:f>IF($E148="","",IFERROR(INDEX('계정과목'!$C$6:$C$56,MATCH($E148,'계정과목'!$A$6:$A$56,0)),""))</x:f>
      </x:c>
      <x:c r="N148" s="9" t="str">
        <x:f>IF($E148="","",IFERROR(INDEX('계정과목'!$D$6:$D$56,MATCH($E148,'계정과목'!$A$6:$A$56,0)),""))</x:f>
      </x:c>
      <x:c r="O148" s="9" t="str">
        <x:f>IF($E148="","",IF(COUNTIF('계정과목'!$A$6:$A$56,$E148)=0,"미등록","정상"))</x:f>
      </x:c>
      <x:c r="P148" s="14" t="str">
        <x:f>IF($A148="","",ROUND(SUMIFS('전표'!$F$7:$F$306,'전표'!$A$7:$A$306,$A148)-SUMIFS('전표'!$G$7:$G$306,'전표'!$A$7:$A$306,$A148),0))</x:f>
      </x:c>
      <x:c r="Q148" s="14" t="n">
        <x:f>IF(ISNUMBER($P148),IF(ABS($P148)&gt;=1,1,0),0)</x:f>
        <x:v>0</x:v>
      </x:c>
    </x:row>
    <x:row r="149">
      <x:c r="A149" s="7"/>
      <x:c r="B149" s="11"/>
      <x:c r="C149" s="7"/>
      <x:c r="D149" s="7"/>
      <x:c r="E149" s="7"/>
      <x:c r="F149" s="13"/>
      <x:c r="G149" s="13"/>
      <x:c r="H149" s="13"/>
      <x:c r="I149" s="7"/>
      <x:c r="J149" s="7"/>
      <x:c r="K149" s="9" t="str">
        <x:f>IF($B149="","",TEXT($B149,"yyyy-mm"))</x:f>
      </x:c>
      <x:c r="L149" s="9" t="str">
        <x:f>IF($E149="","",IFERROR(INDEX('계정과목'!$B$6:$B$56,MATCH($E149,'계정과목'!$A$6:$A$56,0)),"미등록"))</x:f>
      </x:c>
      <x:c r="M149" s="9" t="str">
        <x:f>IF($E149="","",IFERROR(INDEX('계정과목'!$C$6:$C$56,MATCH($E149,'계정과목'!$A$6:$A$56,0)),""))</x:f>
      </x:c>
      <x:c r="N149" s="9" t="str">
        <x:f>IF($E149="","",IFERROR(INDEX('계정과목'!$D$6:$D$56,MATCH($E149,'계정과목'!$A$6:$A$56,0)),""))</x:f>
      </x:c>
      <x:c r="O149" s="9" t="str">
        <x:f>IF($E149="","",IF(COUNTIF('계정과목'!$A$6:$A$56,$E149)=0,"미등록","정상"))</x:f>
      </x:c>
      <x:c r="P149" s="14" t="str">
        <x:f>IF($A149="","",ROUND(SUMIFS('전표'!$F$7:$F$306,'전표'!$A$7:$A$306,$A149)-SUMIFS('전표'!$G$7:$G$306,'전표'!$A$7:$A$306,$A149),0))</x:f>
      </x:c>
      <x:c r="Q149" s="14" t="n">
        <x:f>IF(ISNUMBER($P149),IF(ABS($P149)&gt;=1,1,0),0)</x:f>
        <x:v>0</x:v>
      </x:c>
    </x:row>
    <x:row r="150">
      <x:c r="A150" s="7"/>
      <x:c r="B150" s="11"/>
      <x:c r="C150" s="7"/>
      <x:c r="D150" s="7"/>
      <x:c r="E150" s="7"/>
      <x:c r="F150" s="13"/>
      <x:c r="G150" s="13"/>
      <x:c r="H150" s="13"/>
      <x:c r="I150" s="7"/>
      <x:c r="J150" s="7"/>
      <x:c r="K150" s="9" t="str">
        <x:f>IF($B150="","",TEXT($B150,"yyyy-mm"))</x:f>
      </x:c>
      <x:c r="L150" s="9" t="str">
        <x:f>IF($E150="","",IFERROR(INDEX('계정과목'!$B$6:$B$56,MATCH($E150,'계정과목'!$A$6:$A$56,0)),"미등록"))</x:f>
      </x:c>
      <x:c r="M150" s="9" t="str">
        <x:f>IF($E150="","",IFERROR(INDEX('계정과목'!$C$6:$C$56,MATCH($E150,'계정과목'!$A$6:$A$56,0)),""))</x:f>
      </x:c>
      <x:c r="N150" s="9" t="str">
        <x:f>IF($E150="","",IFERROR(INDEX('계정과목'!$D$6:$D$56,MATCH($E150,'계정과목'!$A$6:$A$56,0)),""))</x:f>
      </x:c>
      <x:c r="O150" s="9" t="str">
        <x:f>IF($E150="","",IF(COUNTIF('계정과목'!$A$6:$A$56,$E150)=0,"미등록","정상"))</x:f>
      </x:c>
      <x:c r="P150" s="14" t="str">
        <x:f>IF($A150="","",ROUND(SUMIFS('전표'!$F$7:$F$306,'전표'!$A$7:$A$306,$A150)-SUMIFS('전표'!$G$7:$G$306,'전표'!$A$7:$A$306,$A150),0))</x:f>
      </x:c>
      <x:c r="Q150" s="14" t="n">
        <x:f>IF(ISNUMBER($P150),IF(ABS($P150)&gt;=1,1,0),0)</x:f>
        <x:v>0</x:v>
      </x:c>
    </x:row>
    <x:row r="151">
      <x:c r="A151" s="7"/>
      <x:c r="B151" s="11"/>
      <x:c r="C151" s="7"/>
      <x:c r="D151" s="7"/>
      <x:c r="E151" s="7"/>
      <x:c r="F151" s="13"/>
      <x:c r="G151" s="13"/>
      <x:c r="H151" s="13"/>
      <x:c r="I151" s="7"/>
      <x:c r="J151" s="7"/>
      <x:c r="K151" s="9" t="str">
        <x:f>IF($B151="","",TEXT($B151,"yyyy-mm"))</x:f>
      </x:c>
      <x:c r="L151" s="9" t="str">
        <x:f>IF($E151="","",IFERROR(INDEX('계정과목'!$B$6:$B$56,MATCH($E151,'계정과목'!$A$6:$A$56,0)),"미등록"))</x:f>
      </x:c>
      <x:c r="M151" s="9" t="str">
        <x:f>IF($E151="","",IFERROR(INDEX('계정과목'!$C$6:$C$56,MATCH($E151,'계정과목'!$A$6:$A$56,0)),""))</x:f>
      </x:c>
      <x:c r="N151" s="9" t="str">
        <x:f>IF($E151="","",IFERROR(INDEX('계정과목'!$D$6:$D$56,MATCH($E151,'계정과목'!$A$6:$A$56,0)),""))</x:f>
      </x:c>
      <x:c r="O151" s="9" t="str">
        <x:f>IF($E151="","",IF(COUNTIF('계정과목'!$A$6:$A$56,$E151)=0,"미등록","정상"))</x:f>
      </x:c>
      <x:c r="P151" s="14" t="str">
        <x:f>IF($A151="","",ROUND(SUMIFS('전표'!$F$7:$F$306,'전표'!$A$7:$A$306,$A151)-SUMIFS('전표'!$G$7:$G$306,'전표'!$A$7:$A$306,$A151),0))</x:f>
      </x:c>
      <x:c r="Q151" s="14" t="n">
        <x:f>IF(ISNUMBER($P151),IF(ABS($P151)&gt;=1,1,0),0)</x:f>
        <x:v>0</x:v>
      </x:c>
    </x:row>
    <x:row r="152">
      <x:c r="A152" s="7"/>
      <x:c r="B152" s="11"/>
      <x:c r="C152" s="7"/>
      <x:c r="D152" s="7"/>
      <x:c r="E152" s="7"/>
      <x:c r="F152" s="13"/>
      <x:c r="G152" s="13"/>
      <x:c r="H152" s="13"/>
      <x:c r="I152" s="7"/>
      <x:c r="J152" s="7"/>
      <x:c r="K152" s="9" t="str">
        <x:f>IF($B152="","",TEXT($B152,"yyyy-mm"))</x:f>
      </x:c>
      <x:c r="L152" s="9" t="str">
        <x:f>IF($E152="","",IFERROR(INDEX('계정과목'!$B$6:$B$56,MATCH($E152,'계정과목'!$A$6:$A$56,0)),"미등록"))</x:f>
      </x:c>
      <x:c r="M152" s="9" t="str">
        <x:f>IF($E152="","",IFERROR(INDEX('계정과목'!$C$6:$C$56,MATCH($E152,'계정과목'!$A$6:$A$56,0)),""))</x:f>
      </x:c>
      <x:c r="N152" s="9" t="str">
        <x:f>IF($E152="","",IFERROR(INDEX('계정과목'!$D$6:$D$56,MATCH($E152,'계정과목'!$A$6:$A$56,0)),""))</x:f>
      </x:c>
      <x:c r="O152" s="9" t="str">
        <x:f>IF($E152="","",IF(COUNTIF('계정과목'!$A$6:$A$56,$E152)=0,"미등록","정상"))</x:f>
      </x:c>
      <x:c r="P152" s="14" t="str">
        <x:f>IF($A152="","",ROUND(SUMIFS('전표'!$F$7:$F$306,'전표'!$A$7:$A$306,$A152)-SUMIFS('전표'!$G$7:$G$306,'전표'!$A$7:$A$306,$A152),0))</x:f>
      </x:c>
      <x:c r="Q152" s="14" t="n">
        <x:f>IF(ISNUMBER($P152),IF(ABS($P152)&gt;=1,1,0),0)</x:f>
        <x:v>0</x:v>
      </x:c>
    </x:row>
    <x:row r="153">
      <x:c r="A153" s="7"/>
      <x:c r="B153" s="11"/>
      <x:c r="C153" s="7"/>
      <x:c r="D153" s="7"/>
      <x:c r="E153" s="7"/>
      <x:c r="F153" s="13"/>
      <x:c r="G153" s="13"/>
      <x:c r="H153" s="13"/>
      <x:c r="I153" s="7"/>
      <x:c r="J153" s="7"/>
      <x:c r="K153" s="9" t="str">
        <x:f>IF($B153="","",TEXT($B153,"yyyy-mm"))</x:f>
      </x:c>
      <x:c r="L153" s="9" t="str">
        <x:f>IF($E153="","",IFERROR(INDEX('계정과목'!$B$6:$B$56,MATCH($E153,'계정과목'!$A$6:$A$56,0)),"미등록"))</x:f>
      </x:c>
      <x:c r="M153" s="9" t="str">
        <x:f>IF($E153="","",IFERROR(INDEX('계정과목'!$C$6:$C$56,MATCH($E153,'계정과목'!$A$6:$A$56,0)),""))</x:f>
      </x:c>
      <x:c r="N153" s="9" t="str">
        <x:f>IF($E153="","",IFERROR(INDEX('계정과목'!$D$6:$D$56,MATCH($E153,'계정과목'!$A$6:$A$56,0)),""))</x:f>
      </x:c>
      <x:c r="O153" s="9" t="str">
        <x:f>IF($E153="","",IF(COUNTIF('계정과목'!$A$6:$A$56,$E153)=0,"미등록","정상"))</x:f>
      </x:c>
      <x:c r="P153" s="14" t="str">
        <x:f>IF($A153="","",ROUND(SUMIFS('전표'!$F$7:$F$306,'전표'!$A$7:$A$306,$A153)-SUMIFS('전표'!$G$7:$G$306,'전표'!$A$7:$A$306,$A153),0))</x:f>
      </x:c>
      <x:c r="Q153" s="14" t="n">
        <x:f>IF(ISNUMBER($P153),IF(ABS($P153)&gt;=1,1,0),0)</x:f>
        <x:v>0</x:v>
      </x:c>
    </x:row>
    <x:row r="154">
      <x:c r="A154" s="7"/>
      <x:c r="B154" s="11"/>
      <x:c r="C154" s="7"/>
      <x:c r="D154" s="7"/>
      <x:c r="E154" s="7"/>
      <x:c r="F154" s="13"/>
      <x:c r="G154" s="13"/>
      <x:c r="H154" s="13"/>
      <x:c r="I154" s="7"/>
      <x:c r="J154" s="7"/>
      <x:c r="K154" s="9" t="str">
        <x:f>IF($B154="","",TEXT($B154,"yyyy-mm"))</x:f>
      </x:c>
      <x:c r="L154" s="9" t="str">
        <x:f>IF($E154="","",IFERROR(INDEX('계정과목'!$B$6:$B$56,MATCH($E154,'계정과목'!$A$6:$A$56,0)),"미등록"))</x:f>
      </x:c>
      <x:c r="M154" s="9" t="str">
        <x:f>IF($E154="","",IFERROR(INDEX('계정과목'!$C$6:$C$56,MATCH($E154,'계정과목'!$A$6:$A$56,0)),""))</x:f>
      </x:c>
      <x:c r="N154" s="9" t="str">
        <x:f>IF($E154="","",IFERROR(INDEX('계정과목'!$D$6:$D$56,MATCH($E154,'계정과목'!$A$6:$A$56,0)),""))</x:f>
      </x:c>
      <x:c r="O154" s="9" t="str">
        <x:f>IF($E154="","",IF(COUNTIF('계정과목'!$A$6:$A$56,$E154)=0,"미등록","정상"))</x:f>
      </x:c>
      <x:c r="P154" s="14" t="str">
        <x:f>IF($A154="","",ROUND(SUMIFS('전표'!$F$7:$F$306,'전표'!$A$7:$A$306,$A154)-SUMIFS('전표'!$G$7:$G$306,'전표'!$A$7:$A$306,$A154),0))</x:f>
      </x:c>
      <x:c r="Q154" s="14" t="n">
        <x:f>IF(ISNUMBER($P154),IF(ABS($P154)&gt;=1,1,0),0)</x:f>
        <x:v>0</x:v>
      </x:c>
    </x:row>
    <x:row r="155">
      <x:c r="A155" s="7"/>
      <x:c r="B155" s="11"/>
      <x:c r="C155" s="7"/>
      <x:c r="D155" s="7"/>
      <x:c r="E155" s="7"/>
      <x:c r="F155" s="13"/>
      <x:c r="G155" s="13"/>
      <x:c r="H155" s="13"/>
      <x:c r="I155" s="7"/>
      <x:c r="J155" s="7"/>
      <x:c r="K155" s="9" t="str">
        <x:f>IF($B155="","",TEXT($B155,"yyyy-mm"))</x:f>
      </x:c>
      <x:c r="L155" s="9" t="str">
        <x:f>IF($E155="","",IFERROR(INDEX('계정과목'!$B$6:$B$56,MATCH($E155,'계정과목'!$A$6:$A$56,0)),"미등록"))</x:f>
      </x:c>
      <x:c r="M155" s="9" t="str">
        <x:f>IF($E155="","",IFERROR(INDEX('계정과목'!$C$6:$C$56,MATCH($E155,'계정과목'!$A$6:$A$56,0)),""))</x:f>
      </x:c>
      <x:c r="N155" s="9" t="str">
        <x:f>IF($E155="","",IFERROR(INDEX('계정과목'!$D$6:$D$56,MATCH($E155,'계정과목'!$A$6:$A$56,0)),""))</x:f>
      </x:c>
      <x:c r="O155" s="9" t="str">
        <x:f>IF($E155="","",IF(COUNTIF('계정과목'!$A$6:$A$56,$E155)=0,"미등록","정상"))</x:f>
      </x:c>
      <x:c r="P155" s="14" t="str">
        <x:f>IF($A155="","",ROUND(SUMIFS('전표'!$F$7:$F$306,'전표'!$A$7:$A$306,$A155)-SUMIFS('전표'!$G$7:$G$306,'전표'!$A$7:$A$306,$A155),0))</x:f>
      </x:c>
      <x:c r="Q155" s="14" t="n">
        <x:f>IF(ISNUMBER($P155),IF(ABS($P155)&gt;=1,1,0),0)</x:f>
        <x:v>0</x:v>
      </x:c>
    </x:row>
    <x:row r="156">
      <x:c r="A156" s="7"/>
      <x:c r="B156" s="11"/>
      <x:c r="C156" s="7"/>
      <x:c r="D156" s="7"/>
      <x:c r="E156" s="7"/>
      <x:c r="F156" s="13"/>
      <x:c r="G156" s="13"/>
      <x:c r="H156" s="13"/>
      <x:c r="I156" s="7"/>
      <x:c r="J156" s="7"/>
      <x:c r="K156" s="9" t="str">
        <x:f>IF($B156="","",TEXT($B156,"yyyy-mm"))</x:f>
      </x:c>
      <x:c r="L156" s="9" t="str">
        <x:f>IF($E156="","",IFERROR(INDEX('계정과목'!$B$6:$B$56,MATCH($E156,'계정과목'!$A$6:$A$56,0)),"미등록"))</x:f>
      </x:c>
      <x:c r="M156" s="9" t="str">
        <x:f>IF($E156="","",IFERROR(INDEX('계정과목'!$C$6:$C$56,MATCH($E156,'계정과목'!$A$6:$A$56,0)),""))</x:f>
      </x:c>
      <x:c r="N156" s="9" t="str">
        <x:f>IF($E156="","",IFERROR(INDEX('계정과목'!$D$6:$D$56,MATCH($E156,'계정과목'!$A$6:$A$56,0)),""))</x:f>
      </x:c>
      <x:c r="O156" s="9" t="str">
        <x:f>IF($E156="","",IF(COUNTIF('계정과목'!$A$6:$A$56,$E156)=0,"미등록","정상"))</x:f>
      </x:c>
      <x:c r="P156" s="14" t="str">
        <x:f>IF($A156="","",ROUND(SUMIFS('전표'!$F$7:$F$306,'전표'!$A$7:$A$306,$A156)-SUMIFS('전표'!$G$7:$G$306,'전표'!$A$7:$A$306,$A156),0))</x:f>
      </x:c>
      <x:c r="Q156" s="14" t="n">
        <x:f>IF(ISNUMBER($P156),IF(ABS($P156)&gt;=1,1,0),0)</x:f>
        <x:v>0</x:v>
      </x:c>
    </x:row>
    <x:row r="157">
      <x:c r="A157" s="7"/>
      <x:c r="B157" s="11"/>
      <x:c r="C157" s="7"/>
      <x:c r="D157" s="7"/>
      <x:c r="E157" s="7"/>
      <x:c r="F157" s="13"/>
      <x:c r="G157" s="13"/>
      <x:c r="H157" s="13"/>
      <x:c r="I157" s="7"/>
      <x:c r="J157" s="7"/>
      <x:c r="K157" s="9" t="str">
        <x:f>IF($B157="","",TEXT($B157,"yyyy-mm"))</x:f>
      </x:c>
      <x:c r="L157" s="9" t="str">
        <x:f>IF($E157="","",IFERROR(INDEX('계정과목'!$B$6:$B$56,MATCH($E157,'계정과목'!$A$6:$A$56,0)),"미등록"))</x:f>
      </x:c>
      <x:c r="M157" s="9" t="str">
        <x:f>IF($E157="","",IFERROR(INDEX('계정과목'!$C$6:$C$56,MATCH($E157,'계정과목'!$A$6:$A$56,0)),""))</x:f>
      </x:c>
      <x:c r="N157" s="9" t="str">
        <x:f>IF($E157="","",IFERROR(INDEX('계정과목'!$D$6:$D$56,MATCH($E157,'계정과목'!$A$6:$A$56,0)),""))</x:f>
      </x:c>
      <x:c r="O157" s="9" t="str">
        <x:f>IF($E157="","",IF(COUNTIF('계정과목'!$A$6:$A$56,$E157)=0,"미등록","정상"))</x:f>
      </x:c>
      <x:c r="P157" s="14" t="str">
        <x:f>IF($A157="","",ROUND(SUMIFS('전표'!$F$7:$F$306,'전표'!$A$7:$A$306,$A157)-SUMIFS('전표'!$G$7:$G$306,'전표'!$A$7:$A$306,$A157),0))</x:f>
      </x:c>
      <x:c r="Q157" s="14" t="n">
        <x:f>IF(ISNUMBER($P157),IF(ABS($P157)&gt;=1,1,0),0)</x:f>
        <x:v>0</x:v>
      </x:c>
    </x:row>
    <x:row r="158">
      <x:c r="A158" s="7"/>
      <x:c r="B158" s="11"/>
      <x:c r="C158" s="7"/>
      <x:c r="D158" s="7"/>
      <x:c r="E158" s="7"/>
      <x:c r="F158" s="13"/>
      <x:c r="G158" s="13"/>
      <x:c r="H158" s="13"/>
      <x:c r="I158" s="7"/>
      <x:c r="J158" s="7"/>
      <x:c r="K158" s="9" t="str">
        <x:f>IF($B158="","",TEXT($B158,"yyyy-mm"))</x:f>
      </x:c>
      <x:c r="L158" s="9" t="str">
        <x:f>IF($E158="","",IFERROR(INDEX('계정과목'!$B$6:$B$56,MATCH($E158,'계정과목'!$A$6:$A$56,0)),"미등록"))</x:f>
      </x:c>
      <x:c r="M158" s="9" t="str">
        <x:f>IF($E158="","",IFERROR(INDEX('계정과목'!$C$6:$C$56,MATCH($E158,'계정과목'!$A$6:$A$56,0)),""))</x:f>
      </x:c>
      <x:c r="N158" s="9" t="str">
        <x:f>IF($E158="","",IFERROR(INDEX('계정과목'!$D$6:$D$56,MATCH($E158,'계정과목'!$A$6:$A$56,0)),""))</x:f>
      </x:c>
      <x:c r="O158" s="9" t="str">
        <x:f>IF($E158="","",IF(COUNTIF('계정과목'!$A$6:$A$56,$E158)=0,"미등록","정상"))</x:f>
      </x:c>
      <x:c r="P158" s="14" t="str">
        <x:f>IF($A158="","",ROUND(SUMIFS('전표'!$F$7:$F$306,'전표'!$A$7:$A$306,$A158)-SUMIFS('전표'!$G$7:$G$306,'전표'!$A$7:$A$306,$A158),0))</x:f>
      </x:c>
      <x:c r="Q158" s="14" t="n">
        <x:f>IF(ISNUMBER($P158),IF(ABS($P158)&gt;=1,1,0),0)</x:f>
        <x:v>0</x:v>
      </x:c>
    </x:row>
    <x:row r="159">
      <x:c r="A159" s="7"/>
      <x:c r="B159" s="11"/>
      <x:c r="C159" s="7"/>
      <x:c r="D159" s="7"/>
      <x:c r="E159" s="7"/>
      <x:c r="F159" s="13"/>
      <x:c r="G159" s="13"/>
      <x:c r="H159" s="13"/>
      <x:c r="I159" s="7"/>
      <x:c r="J159" s="7"/>
      <x:c r="K159" s="9" t="str">
        <x:f>IF($B159="","",TEXT($B159,"yyyy-mm"))</x:f>
      </x:c>
      <x:c r="L159" s="9" t="str">
        <x:f>IF($E159="","",IFERROR(INDEX('계정과목'!$B$6:$B$56,MATCH($E159,'계정과목'!$A$6:$A$56,0)),"미등록"))</x:f>
      </x:c>
      <x:c r="M159" s="9" t="str">
        <x:f>IF($E159="","",IFERROR(INDEX('계정과목'!$C$6:$C$56,MATCH($E159,'계정과목'!$A$6:$A$56,0)),""))</x:f>
      </x:c>
      <x:c r="N159" s="9" t="str">
        <x:f>IF($E159="","",IFERROR(INDEX('계정과목'!$D$6:$D$56,MATCH($E159,'계정과목'!$A$6:$A$56,0)),""))</x:f>
      </x:c>
      <x:c r="O159" s="9" t="str">
        <x:f>IF($E159="","",IF(COUNTIF('계정과목'!$A$6:$A$56,$E159)=0,"미등록","정상"))</x:f>
      </x:c>
      <x:c r="P159" s="14" t="str">
        <x:f>IF($A159="","",ROUND(SUMIFS('전표'!$F$7:$F$306,'전표'!$A$7:$A$306,$A159)-SUMIFS('전표'!$G$7:$G$306,'전표'!$A$7:$A$306,$A159),0))</x:f>
      </x:c>
      <x:c r="Q159" s="14" t="n">
        <x:f>IF(ISNUMBER($P159),IF(ABS($P159)&gt;=1,1,0),0)</x:f>
        <x:v>0</x:v>
      </x:c>
    </x:row>
    <x:row r="160">
      <x:c r="A160" s="7"/>
      <x:c r="B160" s="11"/>
      <x:c r="C160" s="7"/>
      <x:c r="D160" s="7"/>
      <x:c r="E160" s="7"/>
      <x:c r="F160" s="13"/>
      <x:c r="G160" s="13"/>
      <x:c r="H160" s="13"/>
      <x:c r="I160" s="7"/>
      <x:c r="J160" s="7"/>
      <x:c r="K160" s="9" t="str">
        <x:f>IF($B160="","",TEXT($B160,"yyyy-mm"))</x:f>
      </x:c>
      <x:c r="L160" s="9" t="str">
        <x:f>IF($E160="","",IFERROR(INDEX('계정과목'!$B$6:$B$56,MATCH($E160,'계정과목'!$A$6:$A$56,0)),"미등록"))</x:f>
      </x:c>
      <x:c r="M160" s="9" t="str">
        <x:f>IF($E160="","",IFERROR(INDEX('계정과목'!$C$6:$C$56,MATCH($E160,'계정과목'!$A$6:$A$56,0)),""))</x:f>
      </x:c>
      <x:c r="N160" s="9" t="str">
        <x:f>IF($E160="","",IFERROR(INDEX('계정과목'!$D$6:$D$56,MATCH($E160,'계정과목'!$A$6:$A$56,0)),""))</x:f>
      </x:c>
      <x:c r="O160" s="9" t="str">
        <x:f>IF($E160="","",IF(COUNTIF('계정과목'!$A$6:$A$56,$E160)=0,"미등록","정상"))</x:f>
      </x:c>
      <x:c r="P160" s="14" t="str">
        <x:f>IF($A160="","",ROUND(SUMIFS('전표'!$F$7:$F$306,'전표'!$A$7:$A$306,$A160)-SUMIFS('전표'!$G$7:$G$306,'전표'!$A$7:$A$306,$A160),0))</x:f>
      </x:c>
      <x:c r="Q160" s="14" t="n">
        <x:f>IF(ISNUMBER($P160),IF(ABS($P160)&gt;=1,1,0),0)</x:f>
        <x:v>0</x:v>
      </x:c>
    </x:row>
    <x:row r="161">
      <x:c r="A161" s="7"/>
      <x:c r="B161" s="11"/>
      <x:c r="C161" s="7"/>
      <x:c r="D161" s="7"/>
      <x:c r="E161" s="7"/>
      <x:c r="F161" s="13"/>
      <x:c r="G161" s="13"/>
      <x:c r="H161" s="13"/>
      <x:c r="I161" s="7"/>
      <x:c r="J161" s="7"/>
      <x:c r="K161" s="9" t="str">
        <x:f>IF($B161="","",TEXT($B161,"yyyy-mm"))</x:f>
      </x:c>
      <x:c r="L161" s="9" t="str">
        <x:f>IF($E161="","",IFERROR(INDEX('계정과목'!$B$6:$B$56,MATCH($E161,'계정과목'!$A$6:$A$56,0)),"미등록"))</x:f>
      </x:c>
      <x:c r="M161" s="9" t="str">
        <x:f>IF($E161="","",IFERROR(INDEX('계정과목'!$C$6:$C$56,MATCH($E161,'계정과목'!$A$6:$A$56,0)),""))</x:f>
      </x:c>
      <x:c r="N161" s="9" t="str">
        <x:f>IF($E161="","",IFERROR(INDEX('계정과목'!$D$6:$D$56,MATCH($E161,'계정과목'!$A$6:$A$56,0)),""))</x:f>
      </x:c>
      <x:c r="O161" s="9" t="str">
        <x:f>IF($E161="","",IF(COUNTIF('계정과목'!$A$6:$A$56,$E161)=0,"미등록","정상"))</x:f>
      </x:c>
      <x:c r="P161" s="14" t="str">
        <x:f>IF($A161="","",ROUND(SUMIFS('전표'!$F$7:$F$306,'전표'!$A$7:$A$306,$A161)-SUMIFS('전표'!$G$7:$G$306,'전표'!$A$7:$A$306,$A161),0))</x:f>
      </x:c>
      <x:c r="Q161" s="14" t="n">
        <x:f>IF(ISNUMBER($P161),IF(ABS($P161)&gt;=1,1,0),0)</x:f>
        <x:v>0</x:v>
      </x:c>
    </x:row>
    <x:row r="162">
      <x:c r="A162" s="7"/>
      <x:c r="B162" s="11"/>
      <x:c r="C162" s="7"/>
      <x:c r="D162" s="7"/>
      <x:c r="E162" s="7"/>
      <x:c r="F162" s="13"/>
      <x:c r="G162" s="13"/>
      <x:c r="H162" s="13"/>
      <x:c r="I162" s="7"/>
      <x:c r="J162" s="7"/>
      <x:c r="K162" s="9" t="str">
        <x:f>IF($B162="","",TEXT($B162,"yyyy-mm"))</x:f>
      </x:c>
      <x:c r="L162" s="9" t="str">
        <x:f>IF($E162="","",IFERROR(INDEX('계정과목'!$B$6:$B$56,MATCH($E162,'계정과목'!$A$6:$A$56,0)),"미등록"))</x:f>
      </x:c>
      <x:c r="M162" s="9" t="str">
        <x:f>IF($E162="","",IFERROR(INDEX('계정과목'!$C$6:$C$56,MATCH($E162,'계정과목'!$A$6:$A$56,0)),""))</x:f>
      </x:c>
      <x:c r="N162" s="9" t="str">
        <x:f>IF($E162="","",IFERROR(INDEX('계정과목'!$D$6:$D$56,MATCH($E162,'계정과목'!$A$6:$A$56,0)),""))</x:f>
      </x:c>
      <x:c r="O162" s="9" t="str">
        <x:f>IF($E162="","",IF(COUNTIF('계정과목'!$A$6:$A$56,$E162)=0,"미등록","정상"))</x:f>
      </x:c>
      <x:c r="P162" s="14" t="str">
        <x:f>IF($A162="","",ROUND(SUMIFS('전표'!$F$7:$F$306,'전표'!$A$7:$A$306,$A162)-SUMIFS('전표'!$G$7:$G$306,'전표'!$A$7:$A$306,$A162),0))</x:f>
      </x:c>
      <x:c r="Q162" s="14" t="n">
        <x:f>IF(ISNUMBER($P162),IF(ABS($P162)&gt;=1,1,0),0)</x:f>
        <x:v>0</x:v>
      </x:c>
    </x:row>
    <x:row r="163">
      <x:c r="A163" s="7"/>
      <x:c r="B163" s="11"/>
      <x:c r="C163" s="7"/>
      <x:c r="D163" s="7"/>
      <x:c r="E163" s="7"/>
      <x:c r="F163" s="13"/>
      <x:c r="G163" s="13"/>
      <x:c r="H163" s="13"/>
      <x:c r="I163" s="7"/>
      <x:c r="J163" s="7"/>
      <x:c r="K163" s="9" t="str">
        <x:f>IF($B163="","",TEXT($B163,"yyyy-mm"))</x:f>
      </x:c>
      <x:c r="L163" s="9" t="str">
        <x:f>IF($E163="","",IFERROR(INDEX('계정과목'!$B$6:$B$56,MATCH($E163,'계정과목'!$A$6:$A$56,0)),"미등록"))</x:f>
      </x:c>
      <x:c r="M163" s="9" t="str">
        <x:f>IF($E163="","",IFERROR(INDEX('계정과목'!$C$6:$C$56,MATCH($E163,'계정과목'!$A$6:$A$56,0)),""))</x:f>
      </x:c>
      <x:c r="N163" s="9" t="str">
        <x:f>IF($E163="","",IFERROR(INDEX('계정과목'!$D$6:$D$56,MATCH($E163,'계정과목'!$A$6:$A$56,0)),""))</x:f>
      </x:c>
      <x:c r="O163" s="9" t="str">
        <x:f>IF($E163="","",IF(COUNTIF('계정과목'!$A$6:$A$56,$E163)=0,"미등록","정상"))</x:f>
      </x:c>
      <x:c r="P163" s="14" t="str">
        <x:f>IF($A163="","",ROUND(SUMIFS('전표'!$F$7:$F$306,'전표'!$A$7:$A$306,$A163)-SUMIFS('전표'!$G$7:$G$306,'전표'!$A$7:$A$306,$A163),0))</x:f>
      </x:c>
      <x:c r="Q163" s="14" t="n">
        <x:f>IF(ISNUMBER($P163),IF(ABS($P163)&gt;=1,1,0),0)</x:f>
        <x:v>0</x:v>
      </x:c>
    </x:row>
    <x:row r="164">
      <x:c r="A164" s="7"/>
      <x:c r="B164" s="11"/>
      <x:c r="C164" s="7"/>
      <x:c r="D164" s="7"/>
      <x:c r="E164" s="7"/>
      <x:c r="F164" s="13"/>
      <x:c r="G164" s="13"/>
      <x:c r="H164" s="13"/>
      <x:c r="I164" s="7"/>
      <x:c r="J164" s="7"/>
      <x:c r="K164" s="9" t="str">
        <x:f>IF($B164="","",TEXT($B164,"yyyy-mm"))</x:f>
      </x:c>
      <x:c r="L164" s="9" t="str">
        <x:f>IF($E164="","",IFERROR(INDEX('계정과목'!$B$6:$B$56,MATCH($E164,'계정과목'!$A$6:$A$56,0)),"미등록"))</x:f>
      </x:c>
      <x:c r="M164" s="9" t="str">
        <x:f>IF($E164="","",IFERROR(INDEX('계정과목'!$C$6:$C$56,MATCH($E164,'계정과목'!$A$6:$A$56,0)),""))</x:f>
      </x:c>
      <x:c r="N164" s="9" t="str">
        <x:f>IF($E164="","",IFERROR(INDEX('계정과목'!$D$6:$D$56,MATCH($E164,'계정과목'!$A$6:$A$56,0)),""))</x:f>
      </x:c>
      <x:c r="O164" s="9" t="str">
        <x:f>IF($E164="","",IF(COUNTIF('계정과목'!$A$6:$A$56,$E164)=0,"미등록","정상"))</x:f>
      </x:c>
      <x:c r="P164" s="14" t="str">
        <x:f>IF($A164="","",ROUND(SUMIFS('전표'!$F$7:$F$306,'전표'!$A$7:$A$306,$A164)-SUMIFS('전표'!$G$7:$G$306,'전표'!$A$7:$A$306,$A164),0))</x:f>
      </x:c>
      <x:c r="Q164" s="14" t="n">
        <x:f>IF(ISNUMBER($P164),IF(ABS($P164)&gt;=1,1,0),0)</x:f>
        <x:v>0</x:v>
      </x:c>
    </x:row>
    <x:row r="165">
      <x:c r="A165" s="7"/>
      <x:c r="B165" s="11"/>
      <x:c r="C165" s="7"/>
      <x:c r="D165" s="7"/>
      <x:c r="E165" s="7"/>
      <x:c r="F165" s="13"/>
      <x:c r="G165" s="13"/>
      <x:c r="H165" s="13"/>
      <x:c r="I165" s="7"/>
      <x:c r="J165" s="7"/>
      <x:c r="K165" s="9" t="str">
        <x:f>IF($B165="","",TEXT($B165,"yyyy-mm"))</x:f>
      </x:c>
      <x:c r="L165" s="9" t="str">
        <x:f>IF($E165="","",IFERROR(INDEX('계정과목'!$B$6:$B$56,MATCH($E165,'계정과목'!$A$6:$A$56,0)),"미등록"))</x:f>
      </x:c>
      <x:c r="M165" s="9" t="str">
        <x:f>IF($E165="","",IFERROR(INDEX('계정과목'!$C$6:$C$56,MATCH($E165,'계정과목'!$A$6:$A$56,0)),""))</x:f>
      </x:c>
      <x:c r="N165" s="9" t="str">
        <x:f>IF($E165="","",IFERROR(INDEX('계정과목'!$D$6:$D$56,MATCH($E165,'계정과목'!$A$6:$A$56,0)),""))</x:f>
      </x:c>
      <x:c r="O165" s="9" t="str">
        <x:f>IF($E165="","",IF(COUNTIF('계정과목'!$A$6:$A$56,$E165)=0,"미등록","정상"))</x:f>
      </x:c>
      <x:c r="P165" s="14" t="str">
        <x:f>IF($A165="","",ROUND(SUMIFS('전표'!$F$7:$F$306,'전표'!$A$7:$A$306,$A165)-SUMIFS('전표'!$G$7:$G$306,'전표'!$A$7:$A$306,$A165),0))</x:f>
      </x:c>
      <x:c r="Q165" s="14" t="n">
        <x:f>IF(ISNUMBER($P165),IF(ABS($P165)&gt;=1,1,0),0)</x:f>
        <x:v>0</x:v>
      </x:c>
    </x:row>
    <x:row r="166">
      <x:c r="A166" s="7"/>
      <x:c r="B166" s="11"/>
      <x:c r="C166" s="7"/>
      <x:c r="D166" s="7"/>
      <x:c r="E166" s="7"/>
      <x:c r="F166" s="13"/>
      <x:c r="G166" s="13"/>
      <x:c r="H166" s="13"/>
      <x:c r="I166" s="7"/>
      <x:c r="J166" s="7"/>
      <x:c r="K166" s="9" t="str">
        <x:f>IF($B166="","",TEXT($B166,"yyyy-mm"))</x:f>
      </x:c>
      <x:c r="L166" s="9" t="str">
        <x:f>IF($E166="","",IFERROR(INDEX('계정과목'!$B$6:$B$56,MATCH($E166,'계정과목'!$A$6:$A$56,0)),"미등록"))</x:f>
      </x:c>
      <x:c r="M166" s="9" t="str">
        <x:f>IF($E166="","",IFERROR(INDEX('계정과목'!$C$6:$C$56,MATCH($E166,'계정과목'!$A$6:$A$56,0)),""))</x:f>
      </x:c>
      <x:c r="N166" s="9" t="str">
        <x:f>IF($E166="","",IFERROR(INDEX('계정과목'!$D$6:$D$56,MATCH($E166,'계정과목'!$A$6:$A$56,0)),""))</x:f>
      </x:c>
      <x:c r="O166" s="9" t="str">
        <x:f>IF($E166="","",IF(COUNTIF('계정과목'!$A$6:$A$56,$E166)=0,"미등록","정상"))</x:f>
      </x:c>
      <x:c r="P166" s="14" t="str">
        <x:f>IF($A166="","",ROUND(SUMIFS('전표'!$F$7:$F$306,'전표'!$A$7:$A$306,$A166)-SUMIFS('전표'!$G$7:$G$306,'전표'!$A$7:$A$306,$A166),0))</x:f>
      </x:c>
      <x:c r="Q166" s="14" t="n">
        <x:f>IF(ISNUMBER($P166),IF(ABS($P166)&gt;=1,1,0),0)</x:f>
        <x:v>0</x:v>
      </x:c>
    </x:row>
    <x:row r="167">
      <x:c r="A167" s="7"/>
      <x:c r="B167" s="11"/>
      <x:c r="C167" s="7"/>
      <x:c r="D167" s="7"/>
      <x:c r="E167" s="7"/>
      <x:c r="F167" s="13"/>
      <x:c r="G167" s="13"/>
      <x:c r="H167" s="13"/>
      <x:c r="I167" s="7"/>
      <x:c r="J167" s="7"/>
      <x:c r="K167" s="9" t="str">
        <x:f>IF($B167="","",TEXT($B167,"yyyy-mm"))</x:f>
      </x:c>
      <x:c r="L167" s="9" t="str">
        <x:f>IF($E167="","",IFERROR(INDEX('계정과목'!$B$6:$B$56,MATCH($E167,'계정과목'!$A$6:$A$56,0)),"미등록"))</x:f>
      </x:c>
      <x:c r="M167" s="9" t="str">
        <x:f>IF($E167="","",IFERROR(INDEX('계정과목'!$C$6:$C$56,MATCH($E167,'계정과목'!$A$6:$A$56,0)),""))</x:f>
      </x:c>
      <x:c r="N167" s="9" t="str">
        <x:f>IF($E167="","",IFERROR(INDEX('계정과목'!$D$6:$D$56,MATCH($E167,'계정과목'!$A$6:$A$56,0)),""))</x:f>
      </x:c>
      <x:c r="O167" s="9" t="str">
        <x:f>IF($E167="","",IF(COUNTIF('계정과목'!$A$6:$A$56,$E167)=0,"미등록","정상"))</x:f>
      </x:c>
      <x:c r="P167" s="14" t="str">
        <x:f>IF($A167="","",ROUND(SUMIFS('전표'!$F$7:$F$306,'전표'!$A$7:$A$306,$A167)-SUMIFS('전표'!$G$7:$G$306,'전표'!$A$7:$A$306,$A167),0))</x:f>
      </x:c>
      <x:c r="Q167" s="14" t="n">
        <x:f>IF(ISNUMBER($P167),IF(ABS($P167)&gt;=1,1,0),0)</x:f>
        <x:v>0</x:v>
      </x:c>
    </x:row>
    <x:row r="168">
      <x:c r="A168" s="7"/>
      <x:c r="B168" s="11"/>
      <x:c r="C168" s="7"/>
      <x:c r="D168" s="7"/>
      <x:c r="E168" s="7"/>
      <x:c r="F168" s="13"/>
      <x:c r="G168" s="13"/>
      <x:c r="H168" s="13"/>
      <x:c r="I168" s="7"/>
      <x:c r="J168" s="7"/>
      <x:c r="K168" s="9" t="str">
        <x:f>IF($B168="","",TEXT($B168,"yyyy-mm"))</x:f>
      </x:c>
      <x:c r="L168" s="9" t="str">
        <x:f>IF($E168="","",IFERROR(INDEX('계정과목'!$B$6:$B$56,MATCH($E168,'계정과목'!$A$6:$A$56,0)),"미등록"))</x:f>
      </x:c>
      <x:c r="M168" s="9" t="str">
        <x:f>IF($E168="","",IFERROR(INDEX('계정과목'!$C$6:$C$56,MATCH($E168,'계정과목'!$A$6:$A$56,0)),""))</x:f>
      </x:c>
      <x:c r="N168" s="9" t="str">
        <x:f>IF($E168="","",IFERROR(INDEX('계정과목'!$D$6:$D$56,MATCH($E168,'계정과목'!$A$6:$A$56,0)),""))</x:f>
      </x:c>
      <x:c r="O168" s="9" t="str">
        <x:f>IF($E168="","",IF(COUNTIF('계정과목'!$A$6:$A$56,$E168)=0,"미등록","정상"))</x:f>
      </x:c>
      <x:c r="P168" s="14" t="str">
        <x:f>IF($A168="","",ROUND(SUMIFS('전표'!$F$7:$F$306,'전표'!$A$7:$A$306,$A168)-SUMIFS('전표'!$G$7:$G$306,'전표'!$A$7:$A$306,$A168),0))</x:f>
      </x:c>
      <x:c r="Q168" s="14" t="n">
        <x:f>IF(ISNUMBER($P168),IF(ABS($P168)&gt;=1,1,0),0)</x:f>
        <x:v>0</x:v>
      </x:c>
    </x:row>
    <x:row r="169">
      <x:c r="A169" s="7"/>
      <x:c r="B169" s="11"/>
      <x:c r="C169" s="7"/>
      <x:c r="D169" s="7"/>
      <x:c r="E169" s="7"/>
      <x:c r="F169" s="13"/>
      <x:c r="G169" s="13"/>
      <x:c r="H169" s="13"/>
      <x:c r="I169" s="7"/>
      <x:c r="J169" s="7"/>
      <x:c r="K169" s="9" t="str">
        <x:f>IF($B169="","",TEXT($B169,"yyyy-mm"))</x:f>
      </x:c>
      <x:c r="L169" s="9" t="str">
        <x:f>IF($E169="","",IFERROR(INDEX('계정과목'!$B$6:$B$56,MATCH($E169,'계정과목'!$A$6:$A$56,0)),"미등록"))</x:f>
      </x:c>
      <x:c r="M169" s="9" t="str">
        <x:f>IF($E169="","",IFERROR(INDEX('계정과목'!$C$6:$C$56,MATCH($E169,'계정과목'!$A$6:$A$56,0)),""))</x:f>
      </x:c>
      <x:c r="N169" s="9" t="str">
        <x:f>IF($E169="","",IFERROR(INDEX('계정과목'!$D$6:$D$56,MATCH($E169,'계정과목'!$A$6:$A$56,0)),""))</x:f>
      </x:c>
      <x:c r="O169" s="9" t="str">
        <x:f>IF($E169="","",IF(COUNTIF('계정과목'!$A$6:$A$56,$E169)=0,"미등록","정상"))</x:f>
      </x:c>
      <x:c r="P169" s="14" t="str">
        <x:f>IF($A169="","",ROUND(SUMIFS('전표'!$F$7:$F$306,'전표'!$A$7:$A$306,$A169)-SUMIFS('전표'!$G$7:$G$306,'전표'!$A$7:$A$306,$A169),0))</x:f>
      </x:c>
      <x:c r="Q169" s="14" t="n">
        <x:f>IF(ISNUMBER($P169),IF(ABS($P169)&gt;=1,1,0),0)</x:f>
        <x:v>0</x:v>
      </x:c>
    </x:row>
    <x:row r="170">
      <x:c r="A170" s="7"/>
      <x:c r="B170" s="11"/>
      <x:c r="C170" s="7"/>
      <x:c r="D170" s="7"/>
      <x:c r="E170" s="7"/>
      <x:c r="F170" s="13"/>
      <x:c r="G170" s="13"/>
      <x:c r="H170" s="13"/>
      <x:c r="I170" s="7"/>
      <x:c r="J170" s="7"/>
      <x:c r="K170" s="9" t="str">
        <x:f>IF($B170="","",TEXT($B170,"yyyy-mm"))</x:f>
      </x:c>
      <x:c r="L170" s="9" t="str">
        <x:f>IF($E170="","",IFERROR(INDEX('계정과목'!$B$6:$B$56,MATCH($E170,'계정과목'!$A$6:$A$56,0)),"미등록"))</x:f>
      </x:c>
      <x:c r="M170" s="9" t="str">
        <x:f>IF($E170="","",IFERROR(INDEX('계정과목'!$C$6:$C$56,MATCH($E170,'계정과목'!$A$6:$A$56,0)),""))</x:f>
      </x:c>
      <x:c r="N170" s="9" t="str">
        <x:f>IF($E170="","",IFERROR(INDEX('계정과목'!$D$6:$D$56,MATCH($E170,'계정과목'!$A$6:$A$56,0)),""))</x:f>
      </x:c>
      <x:c r="O170" s="9" t="str">
        <x:f>IF($E170="","",IF(COUNTIF('계정과목'!$A$6:$A$56,$E170)=0,"미등록","정상"))</x:f>
      </x:c>
      <x:c r="P170" s="14" t="str">
        <x:f>IF($A170="","",ROUND(SUMIFS('전표'!$F$7:$F$306,'전표'!$A$7:$A$306,$A170)-SUMIFS('전표'!$G$7:$G$306,'전표'!$A$7:$A$306,$A170),0))</x:f>
      </x:c>
      <x:c r="Q170" s="14" t="n">
        <x:f>IF(ISNUMBER($P170),IF(ABS($P170)&gt;=1,1,0),0)</x:f>
        <x:v>0</x:v>
      </x:c>
    </x:row>
    <x:row r="171">
      <x:c r="A171" s="7"/>
      <x:c r="B171" s="11"/>
      <x:c r="C171" s="7"/>
      <x:c r="D171" s="7"/>
      <x:c r="E171" s="7"/>
      <x:c r="F171" s="13"/>
      <x:c r="G171" s="13"/>
      <x:c r="H171" s="13"/>
      <x:c r="I171" s="7"/>
      <x:c r="J171" s="7"/>
      <x:c r="K171" s="9" t="str">
        <x:f>IF($B171="","",TEXT($B171,"yyyy-mm"))</x:f>
      </x:c>
      <x:c r="L171" s="9" t="str">
        <x:f>IF($E171="","",IFERROR(INDEX('계정과목'!$B$6:$B$56,MATCH($E171,'계정과목'!$A$6:$A$56,0)),"미등록"))</x:f>
      </x:c>
      <x:c r="M171" s="9" t="str">
        <x:f>IF($E171="","",IFERROR(INDEX('계정과목'!$C$6:$C$56,MATCH($E171,'계정과목'!$A$6:$A$56,0)),""))</x:f>
      </x:c>
      <x:c r="N171" s="9" t="str">
        <x:f>IF($E171="","",IFERROR(INDEX('계정과목'!$D$6:$D$56,MATCH($E171,'계정과목'!$A$6:$A$56,0)),""))</x:f>
      </x:c>
      <x:c r="O171" s="9" t="str">
        <x:f>IF($E171="","",IF(COUNTIF('계정과목'!$A$6:$A$56,$E171)=0,"미등록","정상"))</x:f>
      </x:c>
      <x:c r="P171" s="14" t="str">
        <x:f>IF($A171="","",ROUND(SUMIFS('전표'!$F$7:$F$306,'전표'!$A$7:$A$306,$A171)-SUMIFS('전표'!$G$7:$G$306,'전표'!$A$7:$A$306,$A171),0))</x:f>
      </x:c>
      <x:c r="Q171" s="14" t="n">
        <x:f>IF(ISNUMBER($P171),IF(ABS($P171)&gt;=1,1,0),0)</x:f>
        <x:v>0</x:v>
      </x:c>
    </x:row>
    <x:row r="172">
      <x:c r="A172" s="7"/>
      <x:c r="B172" s="11"/>
      <x:c r="C172" s="7"/>
      <x:c r="D172" s="7"/>
      <x:c r="E172" s="7"/>
      <x:c r="F172" s="13"/>
      <x:c r="G172" s="13"/>
      <x:c r="H172" s="13"/>
      <x:c r="I172" s="7"/>
      <x:c r="J172" s="7"/>
      <x:c r="K172" s="9" t="str">
        <x:f>IF($B172="","",TEXT($B172,"yyyy-mm"))</x:f>
      </x:c>
      <x:c r="L172" s="9" t="str">
        <x:f>IF($E172="","",IFERROR(INDEX('계정과목'!$B$6:$B$56,MATCH($E172,'계정과목'!$A$6:$A$56,0)),"미등록"))</x:f>
      </x:c>
      <x:c r="M172" s="9" t="str">
        <x:f>IF($E172="","",IFERROR(INDEX('계정과목'!$C$6:$C$56,MATCH($E172,'계정과목'!$A$6:$A$56,0)),""))</x:f>
      </x:c>
      <x:c r="N172" s="9" t="str">
        <x:f>IF($E172="","",IFERROR(INDEX('계정과목'!$D$6:$D$56,MATCH($E172,'계정과목'!$A$6:$A$56,0)),""))</x:f>
      </x:c>
      <x:c r="O172" s="9" t="str">
        <x:f>IF($E172="","",IF(COUNTIF('계정과목'!$A$6:$A$56,$E172)=0,"미등록","정상"))</x:f>
      </x:c>
      <x:c r="P172" s="14" t="str">
        <x:f>IF($A172="","",ROUND(SUMIFS('전표'!$F$7:$F$306,'전표'!$A$7:$A$306,$A172)-SUMIFS('전표'!$G$7:$G$306,'전표'!$A$7:$A$306,$A172),0))</x:f>
      </x:c>
      <x:c r="Q172" s="14" t="n">
        <x:f>IF(ISNUMBER($P172),IF(ABS($P172)&gt;=1,1,0),0)</x:f>
        <x:v>0</x:v>
      </x:c>
    </x:row>
    <x:row r="173">
      <x:c r="A173" s="7"/>
      <x:c r="B173" s="11"/>
      <x:c r="C173" s="7"/>
      <x:c r="D173" s="7"/>
      <x:c r="E173" s="7"/>
      <x:c r="F173" s="13"/>
      <x:c r="G173" s="13"/>
      <x:c r="H173" s="13"/>
      <x:c r="I173" s="7"/>
      <x:c r="J173" s="7"/>
      <x:c r="K173" s="9" t="str">
        <x:f>IF($B173="","",TEXT($B173,"yyyy-mm"))</x:f>
      </x:c>
      <x:c r="L173" s="9" t="str">
        <x:f>IF($E173="","",IFERROR(INDEX('계정과목'!$B$6:$B$56,MATCH($E173,'계정과목'!$A$6:$A$56,0)),"미등록"))</x:f>
      </x:c>
      <x:c r="M173" s="9" t="str">
        <x:f>IF($E173="","",IFERROR(INDEX('계정과목'!$C$6:$C$56,MATCH($E173,'계정과목'!$A$6:$A$56,0)),""))</x:f>
      </x:c>
      <x:c r="N173" s="9" t="str">
        <x:f>IF($E173="","",IFERROR(INDEX('계정과목'!$D$6:$D$56,MATCH($E173,'계정과목'!$A$6:$A$56,0)),""))</x:f>
      </x:c>
      <x:c r="O173" s="9" t="str">
        <x:f>IF($E173="","",IF(COUNTIF('계정과목'!$A$6:$A$56,$E173)=0,"미등록","정상"))</x:f>
      </x:c>
      <x:c r="P173" s="14" t="str">
        <x:f>IF($A173="","",ROUND(SUMIFS('전표'!$F$7:$F$306,'전표'!$A$7:$A$306,$A173)-SUMIFS('전표'!$G$7:$G$306,'전표'!$A$7:$A$306,$A173),0))</x:f>
      </x:c>
      <x:c r="Q173" s="14" t="n">
        <x:f>IF(ISNUMBER($P173),IF(ABS($P173)&gt;=1,1,0),0)</x:f>
        <x:v>0</x:v>
      </x:c>
    </x:row>
    <x:row r="174">
      <x:c r="A174" s="7"/>
      <x:c r="B174" s="11"/>
      <x:c r="C174" s="7"/>
      <x:c r="D174" s="7"/>
      <x:c r="E174" s="7"/>
      <x:c r="F174" s="13"/>
      <x:c r="G174" s="13"/>
      <x:c r="H174" s="13"/>
      <x:c r="I174" s="7"/>
      <x:c r="J174" s="7"/>
      <x:c r="K174" s="9" t="str">
        <x:f>IF($B174="","",TEXT($B174,"yyyy-mm"))</x:f>
      </x:c>
      <x:c r="L174" s="9" t="str">
        <x:f>IF($E174="","",IFERROR(INDEX('계정과목'!$B$6:$B$56,MATCH($E174,'계정과목'!$A$6:$A$56,0)),"미등록"))</x:f>
      </x:c>
      <x:c r="M174" s="9" t="str">
        <x:f>IF($E174="","",IFERROR(INDEX('계정과목'!$C$6:$C$56,MATCH($E174,'계정과목'!$A$6:$A$56,0)),""))</x:f>
      </x:c>
      <x:c r="N174" s="9" t="str">
        <x:f>IF($E174="","",IFERROR(INDEX('계정과목'!$D$6:$D$56,MATCH($E174,'계정과목'!$A$6:$A$56,0)),""))</x:f>
      </x:c>
      <x:c r="O174" s="9" t="str">
        <x:f>IF($E174="","",IF(COUNTIF('계정과목'!$A$6:$A$56,$E174)=0,"미등록","정상"))</x:f>
      </x:c>
      <x:c r="P174" s="14" t="str">
        <x:f>IF($A174="","",ROUND(SUMIFS('전표'!$F$7:$F$306,'전표'!$A$7:$A$306,$A174)-SUMIFS('전표'!$G$7:$G$306,'전표'!$A$7:$A$306,$A174),0))</x:f>
      </x:c>
      <x:c r="Q174" s="14" t="n">
        <x:f>IF(ISNUMBER($P174),IF(ABS($P174)&gt;=1,1,0),0)</x:f>
        <x:v>0</x:v>
      </x:c>
    </x:row>
    <x:row r="175">
      <x:c r="A175" s="7"/>
      <x:c r="B175" s="11"/>
      <x:c r="C175" s="7"/>
      <x:c r="D175" s="7"/>
      <x:c r="E175" s="7"/>
      <x:c r="F175" s="13"/>
      <x:c r="G175" s="13"/>
      <x:c r="H175" s="13"/>
      <x:c r="I175" s="7"/>
      <x:c r="J175" s="7"/>
      <x:c r="K175" s="9" t="str">
        <x:f>IF($B175="","",TEXT($B175,"yyyy-mm"))</x:f>
      </x:c>
      <x:c r="L175" s="9" t="str">
        <x:f>IF($E175="","",IFERROR(INDEX('계정과목'!$B$6:$B$56,MATCH($E175,'계정과목'!$A$6:$A$56,0)),"미등록"))</x:f>
      </x:c>
      <x:c r="M175" s="9" t="str">
        <x:f>IF($E175="","",IFERROR(INDEX('계정과목'!$C$6:$C$56,MATCH($E175,'계정과목'!$A$6:$A$56,0)),""))</x:f>
      </x:c>
      <x:c r="N175" s="9" t="str">
        <x:f>IF($E175="","",IFERROR(INDEX('계정과목'!$D$6:$D$56,MATCH($E175,'계정과목'!$A$6:$A$56,0)),""))</x:f>
      </x:c>
      <x:c r="O175" s="9" t="str">
        <x:f>IF($E175="","",IF(COUNTIF('계정과목'!$A$6:$A$56,$E175)=0,"미등록","정상"))</x:f>
      </x:c>
      <x:c r="P175" s="14" t="str">
        <x:f>IF($A175="","",ROUND(SUMIFS('전표'!$F$7:$F$306,'전표'!$A$7:$A$306,$A175)-SUMIFS('전표'!$G$7:$G$306,'전표'!$A$7:$A$306,$A175),0))</x:f>
      </x:c>
      <x:c r="Q175" s="14" t="n">
        <x:f>IF(ISNUMBER($P175),IF(ABS($P175)&gt;=1,1,0),0)</x:f>
        <x:v>0</x:v>
      </x:c>
    </x:row>
    <x:row r="176">
      <x:c r="A176" s="7"/>
      <x:c r="B176" s="11"/>
      <x:c r="C176" s="7"/>
      <x:c r="D176" s="7"/>
      <x:c r="E176" s="7"/>
      <x:c r="F176" s="13"/>
      <x:c r="G176" s="13"/>
      <x:c r="H176" s="13"/>
      <x:c r="I176" s="7"/>
      <x:c r="J176" s="7"/>
      <x:c r="K176" s="9" t="str">
        <x:f>IF($B176="","",TEXT($B176,"yyyy-mm"))</x:f>
      </x:c>
      <x:c r="L176" s="9" t="str">
        <x:f>IF($E176="","",IFERROR(INDEX('계정과목'!$B$6:$B$56,MATCH($E176,'계정과목'!$A$6:$A$56,0)),"미등록"))</x:f>
      </x:c>
      <x:c r="M176" s="9" t="str">
        <x:f>IF($E176="","",IFERROR(INDEX('계정과목'!$C$6:$C$56,MATCH($E176,'계정과목'!$A$6:$A$56,0)),""))</x:f>
      </x:c>
      <x:c r="N176" s="9" t="str">
        <x:f>IF($E176="","",IFERROR(INDEX('계정과목'!$D$6:$D$56,MATCH($E176,'계정과목'!$A$6:$A$56,0)),""))</x:f>
      </x:c>
      <x:c r="O176" s="9" t="str">
        <x:f>IF($E176="","",IF(COUNTIF('계정과목'!$A$6:$A$56,$E176)=0,"미등록","정상"))</x:f>
      </x:c>
      <x:c r="P176" s="14" t="str">
        <x:f>IF($A176="","",ROUND(SUMIFS('전표'!$F$7:$F$306,'전표'!$A$7:$A$306,$A176)-SUMIFS('전표'!$G$7:$G$306,'전표'!$A$7:$A$306,$A176),0))</x:f>
      </x:c>
      <x:c r="Q176" s="14" t="n">
        <x:f>IF(ISNUMBER($P176),IF(ABS($P176)&gt;=1,1,0),0)</x:f>
        <x:v>0</x:v>
      </x:c>
    </x:row>
    <x:row r="177">
      <x:c r="A177" s="7"/>
      <x:c r="B177" s="11"/>
      <x:c r="C177" s="7"/>
      <x:c r="D177" s="7"/>
      <x:c r="E177" s="7"/>
      <x:c r="F177" s="13"/>
      <x:c r="G177" s="13"/>
      <x:c r="H177" s="13"/>
      <x:c r="I177" s="7"/>
      <x:c r="J177" s="7"/>
      <x:c r="K177" s="9" t="str">
        <x:f>IF($B177="","",TEXT($B177,"yyyy-mm"))</x:f>
      </x:c>
      <x:c r="L177" s="9" t="str">
        <x:f>IF($E177="","",IFERROR(INDEX('계정과목'!$B$6:$B$56,MATCH($E177,'계정과목'!$A$6:$A$56,0)),"미등록"))</x:f>
      </x:c>
      <x:c r="M177" s="9" t="str">
        <x:f>IF($E177="","",IFERROR(INDEX('계정과목'!$C$6:$C$56,MATCH($E177,'계정과목'!$A$6:$A$56,0)),""))</x:f>
      </x:c>
      <x:c r="N177" s="9" t="str">
        <x:f>IF($E177="","",IFERROR(INDEX('계정과목'!$D$6:$D$56,MATCH($E177,'계정과목'!$A$6:$A$56,0)),""))</x:f>
      </x:c>
      <x:c r="O177" s="9" t="str">
        <x:f>IF($E177="","",IF(COUNTIF('계정과목'!$A$6:$A$56,$E177)=0,"미등록","정상"))</x:f>
      </x:c>
      <x:c r="P177" s="14" t="str">
        <x:f>IF($A177="","",ROUND(SUMIFS('전표'!$F$7:$F$306,'전표'!$A$7:$A$306,$A177)-SUMIFS('전표'!$G$7:$G$306,'전표'!$A$7:$A$306,$A177),0))</x:f>
      </x:c>
      <x:c r="Q177" s="14" t="n">
        <x:f>IF(ISNUMBER($P177),IF(ABS($P177)&gt;=1,1,0),0)</x:f>
        <x:v>0</x:v>
      </x:c>
    </x:row>
    <x:row r="178">
      <x:c r="A178" s="7"/>
      <x:c r="B178" s="11"/>
      <x:c r="C178" s="7"/>
      <x:c r="D178" s="7"/>
      <x:c r="E178" s="7"/>
      <x:c r="F178" s="13"/>
      <x:c r="G178" s="13"/>
      <x:c r="H178" s="13"/>
      <x:c r="I178" s="7"/>
      <x:c r="J178" s="7"/>
      <x:c r="K178" s="9" t="str">
        <x:f>IF($B178="","",TEXT($B178,"yyyy-mm"))</x:f>
      </x:c>
      <x:c r="L178" s="9" t="str">
        <x:f>IF($E178="","",IFERROR(INDEX('계정과목'!$B$6:$B$56,MATCH($E178,'계정과목'!$A$6:$A$56,0)),"미등록"))</x:f>
      </x:c>
      <x:c r="M178" s="9" t="str">
        <x:f>IF($E178="","",IFERROR(INDEX('계정과목'!$C$6:$C$56,MATCH($E178,'계정과목'!$A$6:$A$56,0)),""))</x:f>
      </x:c>
      <x:c r="N178" s="9" t="str">
        <x:f>IF($E178="","",IFERROR(INDEX('계정과목'!$D$6:$D$56,MATCH($E178,'계정과목'!$A$6:$A$56,0)),""))</x:f>
      </x:c>
      <x:c r="O178" s="9" t="str">
        <x:f>IF($E178="","",IF(COUNTIF('계정과목'!$A$6:$A$56,$E178)=0,"미등록","정상"))</x:f>
      </x:c>
      <x:c r="P178" s="14" t="str">
        <x:f>IF($A178="","",ROUND(SUMIFS('전표'!$F$7:$F$306,'전표'!$A$7:$A$306,$A178)-SUMIFS('전표'!$G$7:$G$306,'전표'!$A$7:$A$306,$A178),0))</x:f>
      </x:c>
      <x:c r="Q178" s="14" t="n">
        <x:f>IF(ISNUMBER($P178),IF(ABS($P178)&gt;=1,1,0),0)</x:f>
        <x:v>0</x:v>
      </x:c>
    </x:row>
    <x:row r="179">
      <x:c r="A179" s="7"/>
      <x:c r="B179" s="11"/>
      <x:c r="C179" s="7"/>
      <x:c r="D179" s="7"/>
      <x:c r="E179" s="7"/>
      <x:c r="F179" s="13"/>
      <x:c r="G179" s="13"/>
      <x:c r="H179" s="13"/>
      <x:c r="I179" s="7"/>
      <x:c r="J179" s="7"/>
      <x:c r="K179" s="9" t="str">
        <x:f>IF($B179="","",TEXT($B179,"yyyy-mm"))</x:f>
      </x:c>
      <x:c r="L179" s="9" t="str">
        <x:f>IF($E179="","",IFERROR(INDEX('계정과목'!$B$6:$B$56,MATCH($E179,'계정과목'!$A$6:$A$56,0)),"미등록"))</x:f>
      </x:c>
      <x:c r="M179" s="9" t="str">
        <x:f>IF($E179="","",IFERROR(INDEX('계정과목'!$C$6:$C$56,MATCH($E179,'계정과목'!$A$6:$A$56,0)),""))</x:f>
      </x:c>
      <x:c r="N179" s="9" t="str">
        <x:f>IF($E179="","",IFERROR(INDEX('계정과목'!$D$6:$D$56,MATCH($E179,'계정과목'!$A$6:$A$56,0)),""))</x:f>
      </x:c>
      <x:c r="O179" s="9" t="str">
        <x:f>IF($E179="","",IF(COUNTIF('계정과목'!$A$6:$A$56,$E179)=0,"미등록","정상"))</x:f>
      </x:c>
      <x:c r="P179" s="14" t="str">
        <x:f>IF($A179="","",ROUND(SUMIFS('전표'!$F$7:$F$306,'전표'!$A$7:$A$306,$A179)-SUMIFS('전표'!$G$7:$G$306,'전표'!$A$7:$A$306,$A179),0))</x:f>
      </x:c>
      <x:c r="Q179" s="14" t="n">
        <x:f>IF(ISNUMBER($P179),IF(ABS($P179)&gt;=1,1,0),0)</x:f>
        <x:v>0</x:v>
      </x:c>
    </x:row>
    <x:row r="180">
      <x:c r="A180" s="7"/>
      <x:c r="B180" s="11"/>
      <x:c r="C180" s="7"/>
      <x:c r="D180" s="7"/>
      <x:c r="E180" s="7"/>
      <x:c r="F180" s="13"/>
      <x:c r="G180" s="13"/>
      <x:c r="H180" s="13"/>
      <x:c r="I180" s="7"/>
      <x:c r="J180" s="7"/>
      <x:c r="K180" s="9" t="str">
        <x:f>IF($B180="","",TEXT($B180,"yyyy-mm"))</x:f>
      </x:c>
      <x:c r="L180" s="9" t="str">
        <x:f>IF($E180="","",IFERROR(INDEX('계정과목'!$B$6:$B$56,MATCH($E180,'계정과목'!$A$6:$A$56,0)),"미등록"))</x:f>
      </x:c>
      <x:c r="M180" s="9" t="str">
        <x:f>IF($E180="","",IFERROR(INDEX('계정과목'!$C$6:$C$56,MATCH($E180,'계정과목'!$A$6:$A$56,0)),""))</x:f>
      </x:c>
      <x:c r="N180" s="9" t="str">
        <x:f>IF($E180="","",IFERROR(INDEX('계정과목'!$D$6:$D$56,MATCH($E180,'계정과목'!$A$6:$A$56,0)),""))</x:f>
      </x:c>
      <x:c r="O180" s="9" t="str">
        <x:f>IF($E180="","",IF(COUNTIF('계정과목'!$A$6:$A$56,$E180)=0,"미등록","정상"))</x:f>
      </x:c>
      <x:c r="P180" s="14" t="str">
        <x:f>IF($A180="","",ROUND(SUMIFS('전표'!$F$7:$F$306,'전표'!$A$7:$A$306,$A180)-SUMIFS('전표'!$G$7:$G$306,'전표'!$A$7:$A$306,$A180),0))</x:f>
      </x:c>
      <x:c r="Q180" s="14" t="n">
        <x:f>IF(ISNUMBER($P180),IF(ABS($P180)&gt;=1,1,0),0)</x:f>
        <x:v>0</x:v>
      </x:c>
    </x:row>
    <x:row r="181">
      <x:c r="A181" s="7"/>
      <x:c r="B181" s="11"/>
      <x:c r="C181" s="7"/>
      <x:c r="D181" s="7"/>
      <x:c r="E181" s="7"/>
      <x:c r="F181" s="13"/>
      <x:c r="G181" s="13"/>
      <x:c r="H181" s="13"/>
      <x:c r="I181" s="7"/>
      <x:c r="J181" s="7"/>
      <x:c r="K181" s="9" t="str">
        <x:f>IF($B181="","",TEXT($B181,"yyyy-mm"))</x:f>
      </x:c>
      <x:c r="L181" s="9" t="str">
        <x:f>IF($E181="","",IFERROR(INDEX('계정과목'!$B$6:$B$56,MATCH($E181,'계정과목'!$A$6:$A$56,0)),"미등록"))</x:f>
      </x:c>
      <x:c r="M181" s="9" t="str">
        <x:f>IF($E181="","",IFERROR(INDEX('계정과목'!$C$6:$C$56,MATCH($E181,'계정과목'!$A$6:$A$56,0)),""))</x:f>
      </x:c>
      <x:c r="N181" s="9" t="str">
        <x:f>IF($E181="","",IFERROR(INDEX('계정과목'!$D$6:$D$56,MATCH($E181,'계정과목'!$A$6:$A$56,0)),""))</x:f>
      </x:c>
      <x:c r="O181" s="9" t="str">
        <x:f>IF($E181="","",IF(COUNTIF('계정과목'!$A$6:$A$56,$E181)=0,"미등록","정상"))</x:f>
      </x:c>
      <x:c r="P181" s="14" t="str">
        <x:f>IF($A181="","",ROUND(SUMIFS('전표'!$F$7:$F$306,'전표'!$A$7:$A$306,$A181)-SUMIFS('전표'!$G$7:$G$306,'전표'!$A$7:$A$306,$A181),0))</x:f>
      </x:c>
      <x:c r="Q181" s="14" t="n">
        <x:f>IF(ISNUMBER($P181),IF(ABS($P181)&gt;=1,1,0),0)</x:f>
        <x:v>0</x:v>
      </x:c>
    </x:row>
    <x:row r="182">
      <x:c r="A182" s="7"/>
      <x:c r="B182" s="11"/>
      <x:c r="C182" s="7"/>
      <x:c r="D182" s="7"/>
      <x:c r="E182" s="7"/>
      <x:c r="F182" s="13"/>
      <x:c r="G182" s="13"/>
      <x:c r="H182" s="13"/>
      <x:c r="I182" s="7"/>
      <x:c r="J182" s="7"/>
      <x:c r="K182" s="9" t="str">
        <x:f>IF($B182="","",TEXT($B182,"yyyy-mm"))</x:f>
      </x:c>
      <x:c r="L182" s="9" t="str">
        <x:f>IF($E182="","",IFERROR(INDEX('계정과목'!$B$6:$B$56,MATCH($E182,'계정과목'!$A$6:$A$56,0)),"미등록"))</x:f>
      </x:c>
      <x:c r="M182" s="9" t="str">
        <x:f>IF($E182="","",IFERROR(INDEX('계정과목'!$C$6:$C$56,MATCH($E182,'계정과목'!$A$6:$A$56,0)),""))</x:f>
      </x:c>
      <x:c r="N182" s="9" t="str">
        <x:f>IF($E182="","",IFERROR(INDEX('계정과목'!$D$6:$D$56,MATCH($E182,'계정과목'!$A$6:$A$56,0)),""))</x:f>
      </x:c>
      <x:c r="O182" s="9" t="str">
        <x:f>IF($E182="","",IF(COUNTIF('계정과목'!$A$6:$A$56,$E182)=0,"미등록","정상"))</x:f>
      </x:c>
      <x:c r="P182" s="14" t="str">
        <x:f>IF($A182="","",ROUND(SUMIFS('전표'!$F$7:$F$306,'전표'!$A$7:$A$306,$A182)-SUMIFS('전표'!$G$7:$G$306,'전표'!$A$7:$A$306,$A182),0))</x:f>
      </x:c>
      <x:c r="Q182" s="14" t="n">
        <x:f>IF(ISNUMBER($P182),IF(ABS($P182)&gt;=1,1,0),0)</x:f>
        <x:v>0</x:v>
      </x:c>
    </x:row>
    <x:row r="183">
      <x:c r="A183" s="7"/>
      <x:c r="B183" s="11"/>
      <x:c r="C183" s="7"/>
      <x:c r="D183" s="7"/>
      <x:c r="E183" s="7"/>
      <x:c r="F183" s="13"/>
      <x:c r="G183" s="13"/>
      <x:c r="H183" s="13"/>
      <x:c r="I183" s="7"/>
      <x:c r="J183" s="7"/>
      <x:c r="K183" s="9" t="str">
        <x:f>IF($B183="","",TEXT($B183,"yyyy-mm"))</x:f>
      </x:c>
      <x:c r="L183" s="9" t="str">
        <x:f>IF($E183="","",IFERROR(INDEX('계정과목'!$B$6:$B$56,MATCH($E183,'계정과목'!$A$6:$A$56,0)),"미등록"))</x:f>
      </x:c>
      <x:c r="M183" s="9" t="str">
        <x:f>IF($E183="","",IFERROR(INDEX('계정과목'!$C$6:$C$56,MATCH($E183,'계정과목'!$A$6:$A$56,0)),""))</x:f>
      </x:c>
      <x:c r="N183" s="9" t="str">
        <x:f>IF($E183="","",IFERROR(INDEX('계정과목'!$D$6:$D$56,MATCH($E183,'계정과목'!$A$6:$A$56,0)),""))</x:f>
      </x:c>
      <x:c r="O183" s="9" t="str">
        <x:f>IF($E183="","",IF(COUNTIF('계정과목'!$A$6:$A$56,$E183)=0,"미등록","정상"))</x:f>
      </x:c>
      <x:c r="P183" s="14" t="str">
        <x:f>IF($A183="","",ROUND(SUMIFS('전표'!$F$7:$F$306,'전표'!$A$7:$A$306,$A183)-SUMIFS('전표'!$G$7:$G$306,'전표'!$A$7:$A$306,$A183),0))</x:f>
      </x:c>
      <x:c r="Q183" s="14" t="n">
        <x:f>IF(ISNUMBER($P183),IF(ABS($P183)&gt;=1,1,0),0)</x:f>
        <x:v>0</x:v>
      </x:c>
    </x:row>
    <x:row r="184">
      <x:c r="A184" s="7"/>
      <x:c r="B184" s="11"/>
      <x:c r="C184" s="7"/>
      <x:c r="D184" s="7"/>
      <x:c r="E184" s="7"/>
      <x:c r="F184" s="13"/>
      <x:c r="G184" s="13"/>
      <x:c r="H184" s="13"/>
      <x:c r="I184" s="7"/>
      <x:c r="J184" s="7"/>
      <x:c r="K184" s="9" t="str">
        <x:f>IF($B184="","",TEXT($B184,"yyyy-mm"))</x:f>
      </x:c>
      <x:c r="L184" s="9" t="str">
        <x:f>IF($E184="","",IFERROR(INDEX('계정과목'!$B$6:$B$56,MATCH($E184,'계정과목'!$A$6:$A$56,0)),"미등록"))</x:f>
      </x:c>
      <x:c r="M184" s="9" t="str">
        <x:f>IF($E184="","",IFERROR(INDEX('계정과목'!$C$6:$C$56,MATCH($E184,'계정과목'!$A$6:$A$56,0)),""))</x:f>
      </x:c>
      <x:c r="N184" s="9" t="str">
        <x:f>IF($E184="","",IFERROR(INDEX('계정과목'!$D$6:$D$56,MATCH($E184,'계정과목'!$A$6:$A$56,0)),""))</x:f>
      </x:c>
      <x:c r="O184" s="9" t="str">
        <x:f>IF($E184="","",IF(COUNTIF('계정과목'!$A$6:$A$56,$E184)=0,"미등록","정상"))</x:f>
      </x:c>
      <x:c r="P184" s="14" t="str">
        <x:f>IF($A184="","",ROUND(SUMIFS('전표'!$F$7:$F$306,'전표'!$A$7:$A$306,$A184)-SUMIFS('전표'!$G$7:$G$306,'전표'!$A$7:$A$306,$A184),0))</x:f>
      </x:c>
      <x:c r="Q184" s="14" t="n">
        <x:f>IF(ISNUMBER($P184),IF(ABS($P184)&gt;=1,1,0),0)</x:f>
        <x:v>0</x:v>
      </x:c>
    </x:row>
    <x:row r="185">
      <x:c r="A185" s="7"/>
      <x:c r="B185" s="11"/>
      <x:c r="C185" s="7"/>
      <x:c r="D185" s="7"/>
      <x:c r="E185" s="7"/>
      <x:c r="F185" s="13"/>
      <x:c r="G185" s="13"/>
      <x:c r="H185" s="13"/>
      <x:c r="I185" s="7"/>
      <x:c r="J185" s="7"/>
      <x:c r="K185" s="9" t="str">
        <x:f>IF($B185="","",TEXT($B185,"yyyy-mm"))</x:f>
      </x:c>
      <x:c r="L185" s="9" t="str">
        <x:f>IF($E185="","",IFERROR(INDEX('계정과목'!$B$6:$B$56,MATCH($E185,'계정과목'!$A$6:$A$56,0)),"미등록"))</x:f>
      </x:c>
      <x:c r="M185" s="9" t="str">
        <x:f>IF($E185="","",IFERROR(INDEX('계정과목'!$C$6:$C$56,MATCH($E185,'계정과목'!$A$6:$A$56,0)),""))</x:f>
      </x:c>
      <x:c r="N185" s="9" t="str">
        <x:f>IF($E185="","",IFERROR(INDEX('계정과목'!$D$6:$D$56,MATCH($E185,'계정과목'!$A$6:$A$56,0)),""))</x:f>
      </x:c>
      <x:c r="O185" s="9" t="str">
        <x:f>IF($E185="","",IF(COUNTIF('계정과목'!$A$6:$A$56,$E185)=0,"미등록","정상"))</x:f>
      </x:c>
      <x:c r="P185" s="14" t="str">
        <x:f>IF($A185="","",ROUND(SUMIFS('전표'!$F$7:$F$306,'전표'!$A$7:$A$306,$A185)-SUMIFS('전표'!$G$7:$G$306,'전표'!$A$7:$A$306,$A185),0))</x:f>
      </x:c>
      <x:c r="Q185" s="14" t="n">
        <x:f>IF(ISNUMBER($P185),IF(ABS($P185)&gt;=1,1,0),0)</x:f>
        <x:v>0</x:v>
      </x:c>
    </x:row>
    <x:row r="186">
      <x:c r="A186" s="7"/>
      <x:c r="B186" s="11"/>
      <x:c r="C186" s="7"/>
      <x:c r="D186" s="7"/>
      <x:c r="E186" s="7"/>
      <x:c r="F186" s="13"/>
      <x:c r="G186" s="13"/>
      <x:c r="H186" s="13"/>
      <x:c r="I186" s="7"/>
      <x:c r="J186" s="7"/>
      <x:c r="K186" s="9" t="str">
        <x:f>IF($B186="","",TEXT($B186,"yyyy-mm"))</x:f>
      </x:c>
      <x:c r="L186" s="9" t="str">
        <x:f>IF($E186="","",IFERROR(INDEX('계정과목'!$B$6:$B$56,MATCH($E186,'계정과목'!$A$6:$A$56,0)),"미등록"))</x:f>
      </x:c>
      <x:c r="M186" s="9" t="str">
        <x:f>IF($E186="","",IFERROR(INDEX('계정과목'!$C$6:$C$56,MATCH($E186,'계정과목'!$A$6:$A$56,0)),""))</x:f>
      </x:c>
      <x:c r="N186" s="9" t="str">
        <x:f>IF($E186="","",IFERROR(INDEX('계정과목'!$D$6:$D$56,MATCH($E186,'계정과목'!$A$6:$A$56,0)),""))</x:f>
      </x:c>
      <x:c r="O186" s="9" t="str">
        <x:f>IF($E186="","",IF(COUNTIF('계정과목'!$A$6:$A$56,$E186)=0,"미등록","정상"))</x:f>
      </x:c>
      <x:c r="P186" s="14" t="str">
        <x:f>IF($A186="","",ROUND(SUMIFS('전표'!$F$7:$F$306,'전표'!$A$7:$A$306,$A186)-SUMIFS('전표'!$G$7:$G$306,'전표'!$A$7:$A$306,$A186),0))</x:f>
      </x:c>
      <x:c r="Q186" s="14" t="n">
        <x:f>IF(ISNUMBER($P186),IF(ABS($P186)&gt;=1,1,0),0)</x:f>
        <x:v>0</x:v>
      </x:c>
    </x:row>
    <x:row r="187">
      <x:c r="A187" s="7"/>
      <x:c r="B187" s="11"/>
      <x:c r="C187" s="7"/>
      <x:c r="D187" s="7"/>
      <x:c r="E187" s="7"/>
      <x:c r="F187" s="13"/>
      <x:c r="G187" s="13"/>
      <x:c r="H187" s="13"/>
      <x:c r="I187" s="7"/>
      <x:c r="J187" s="7"/>
      <x:c r="K187" s="9" t="str">
        <x:f>IF($B187="","",TEXT($B187,"yyyy-mm"))</x:f>
      </x:c>
      <x:c r="L187" s="9" t="str">
        <x:f>IF($E187="","",IFERROR(INDEX('계정과목'!$B$6:$B$56,MATCH($E187,'계정과목'!$A$6:$A$56,0)),"미등록"))</x:f>
      </x:c>
      <x:c r="M187" s="9" t="str">
        <x:f>IF($E187="","",IFERROR(INDEX('계정과목'!$C$6:$C$56,MATCH($E187,'계정과목'!$A$6:$A$56,0)),""))</x:f>
      </x:c>
      <x:c r="N187" s="9" t="str">
        <x:f>IF($E187="","",IFERROR(INDEX('계정과목'!$D$6:$D$56,MATCH($E187,'계정과목'!$A$6:$A$56,0)),""))</x:f>
      </x:c>
      <x:c r="O187" s="9" t="str">
        <x:f>IF($E187="","",IF(COUNTIF('계정과목'!$A$6:$A$56,$E187)=0,"미등록","정상"))</x:f>
      </x:c>
      <x:c r="P187" s="14" t="str">
        <x:f>IF($A187="","",ROUND(SUMIFS('전표'!$F$7:$F$306,'전표'!$A$7:$A$306,$A187)-SUMIFS('전표'!$G$7:$G$306,'전표'!$A$7:$A$306,$A187),0))</x:f>
      </x:c>
      <x:c r="Q187" s="14" t="n">
        <x:f>IF(ISNUMBER($P187),IF(ABS($P187)&gt;=1,1,0),0)</x:f>
        <x:v>0</x:v>
      </x:c>
    </x:row>
    <x:row r="188">
      <x:c r="A188" s="7"/>
      <x:c r="B188" s="11"/>
      <x:c r="C188" s="7"/>
      <x:c r="D188" s="7"/>
      <x:c r="E188" s="7"/>
      <x:c r="F188" s="13"/>
      <x:c r="G188" s="13"/>
      <x:c r="H188" s="13"/>
      <x:c r="I188" s="7"/>
      <x:c r="J188" s="7"/>
      <x:c r="K188" s="9" t="str">
        <x:f>IF($B188="","",TEXT($B188,"yyyy-mm"))</x:f>
      </x:c>
      <x:c r="L188" s="9" t="str">
        <x:f>IF($E188="","",IFERROR(INDEX('계정과목'!$B$6:$B$56,MATCH($E188,'계정과목'!$A$6:$A$56,0)),"미등록"))</x:f>
      </x:c>
      <x:c r="M188" s="9" t="str">
        <x:f>IF($E188="","",IFERROR(INDEX('계정과목'!$C$6:$C$56,MATCH($E188,'계정과목'!$A$6:$A$56,0)),""))</x:f>
      </x:c>
      <x:c r="N188" s="9" t="str">
        <x:f>IF($E188="","",IFERROR(INDEX('계정과목'!$D$6:$D$56,MATCH($E188,'계정과목'!$A$6:$A$56,0)),""))</x:f>
      </x:c>
      <x:c r="O188" s="9" t="str">
        <x:f>IF($E188="","",IF(COUNTIF('계정과목'!$A$6:$A$56,$E188)=0,"미등록","정상"))</x:f>
      </x:c>
      <x:c r="P188" s="14" t="str">
        <x:f>IF($A188="","",ROUND(SUMIFS('전표'!$F$7:$F$306,'전표'!$A$7:$A$306,$A188)-SUMIFS('전표'!$G$7:$G$306,'전표'!$A$7:$A$306,$A188),0))</x:f>
      </x:c>
      <x:c r="Q188" s="14" t="n">
        <x:f>IF(ISNUMBER($P188),IF(ABS($P188)&gt;=1,1,0),0)</x:f>
        <x:v>0</x:v>
      </x:c>
    </x:row>
    <x:row r="189">
      <x:c r="A189" s="7"/>
      <x:c r="B189" s="11"/>
      <x:c r="C189" s="7"/>
      <x:c r="D189" s="7"/>
      <x:c r="E189" s="7"/>
      <x:c r="F189" s="13"/>
      <x:c r="G189" s="13"/>
      <x:c r="H189" s="13"/>
      <x:c r="I189" s="7"/>
      <x:c r="J189" s="7"/>
      <x:c r="K189" s="9" t="str">
        <x:f>IF($B189="","",TEXT($B189,"yyyy-mm"))</x:f>
      </x:c>
      <x:c r="L189" s="9" t="str">
        <x:f>IF($E189="","",IFERROR(INDEX('계정과목'!$B$6:$B$56,MATCH($E189,'계정과목'!$A$6:$A$56,0)),"미등록"))</x:f>
      </x:c>
      <x:c r="M189" s="9" t="str">
        <x:f>IF($E189="","",IFERROR(INDEX('계정과목'!$C$6:$C$56,MATCH($E189,'계정과목'!$A$6:$A$56,0)),""))</x:f>
      </x:c>
      <x:c r="N189" s="9" t="str">
        <x:f>IF($E189="","",IFERROR(INDEX('계정과목'!$D$6:$D$56,MATCH($E189,'계정과목'!$A$6:$A$56,0)),""))</x:f>
      </x:c>
      <x:c r="O189" s="9" t="str">
        <x:f>IF($E189="","",IF(COUNTIF('계정과목'!$A$6:$A$56,$E189)=0,"미등록","정상"))</x:f>
      </x:c>
      <x:c r="P189" s="14" t="str">
        <x:f>IF($A189="","",ROUND(SUMIFS('전표'!$F$7:$F$306,'전표'!$A$7:$A$306,$A189)-SUMIFS('전표'!$G$7:$G$306,'전표'!$A$7:$A$306,$A189),0))</x:f>
      </x:c>
      <x:c r="Q189" s="14" t="n">
        <x:f>IF(ISNUMBER($P189),IF(ABS($P189)&gt;=1,1,0),0)</x:f>
        <x:v>0</x:v>
      </x:c>
    </x:row>
    <x:row r="190">
      <x:c r="A190" s="7"/>
      <x:c r="B190" s="11"/>
      <x:c r="C190" s="7"/>
      <x:c r="D190" s="7"/>
      <x:c r="E190" s="7"/>
      <x:c r="F190" s="13"/>
      <x:c r="G190" s="13"/>
      <x:c r="H190" s="13"/>
      <x:c r="I190" s="7"/>
      <x:c r="J190" s="7"/>
      <x:c r="K190" s="9" t="str">
        <x:f>IF($B190="","",TEXT($B190,"yyyy-mm"))</x:f>
      </x:c>
      <x:c r="L190" s="9" t="str">
        <x:f>IF($E190="","",IFERROR(INDEX('계정과목'!$B$6:$B$56,MATCH($E190,'계정과목'!$A$6:$A$56,0)),"미등록"))</x:f>
      </x:c>
      <x:c r="M190" s="9" t="str">
        <x:f>IF($E190="","",IFERROR(INDEX('계정과목'!$C$6:$C$56,MATCH($E190,'계정과목'!$A$6:$A$56,0)),""))</x:f>
      </x:c>
      <x:c r="N190" s="9" t="str">
        <x:f>IF($E190="","",IFERROR(INDEX('계정과목'!$D$6:$D$56,MATCH($E190,'계정과목'!$A$6:$A$56,0)),""))</x:f>
      </x:c>
      <x:c r="O190" s="9" t="str">
        <x:f>IF($E190="","",IF(COUNTIF('계정과목'!$A$6:$A$56,$E190)=0,"미등록","정상"))</x:f>
      </x:c>
      <x:c r="P190" s="14" t="str">
        <x:f>IF($A190="","",ROUND(SUMIFS('전표'!$F$7:$F$306,'전표'!$A$7:$A$306,$A190)-SUMIFS('전표'!$G$7:$G$306,'전표'!$A$7:$A$306,$A190),0))</x:f>
      </x:c>
      <x:c r="Q190" s="14" t="n">
        <x:f>IF(ISNUMBER($P190),IF(ABS($P190)&gt;=1,1,0),0)</x:f>
        <x:v>0</x:v>
      </x:c>
    </x:row>
    <x:row r="191">
      <x:c r="A191" s="7"/>
      <x:c r="B191" s="11"/>
      <x:c r="C191" s="7"/>
      <x:c r="D191" s="7"/>
      <x:c r="E191" s="7"/>
      <x:c r="F191" s="13"/>
      <x:c r="G191" s="13"/>
      <x:c r="H191" s="13"/>
      <x:c r="I191" s="7"/>
      <x:c r="J191" s="7"/>
      <x:c r="K191" s="9" t="str">
        <x:f>IF($B191="","",TEXT($B191,"yyyy-mm"))</x:f>
      </x:c>
      <x:c r="L191" s="9" t="str">
        <x:f>IF($E191="","",IFERROR(INDEX('계정과목'!$B$6:$B$56,MATCH($E191,'계정과목'!$A$6:$A$56,0)),"미등록"))</x:f>
      </x:c>
      <x:c r="M191" s="9" t="str">
        <x:f>IF($E191="","",IFERROR(INDEX('계정과목'!$C$6:$C$56,MATCH($E191,'계정과목'!$A$6:$A$56,0)),""))</x:f>
      </x:c>
      <x:c r="N191" s="9" t="str">
        <x:f>IF($E191="","",IFERROR(INDEX('계정과목'!$D$6:$D$56,MATCH($E191,'계정과목'!$A$6:$A$56,0)),""))</x:f>
      </x:c>
      <x:c r="O191" s="9" t="str">
        <x:f>IF($E191="","",IF(COUNTIF('계정과목'!$A$6:$A$56,$E191)=0,"미등록","정상"))</x:f>
      </x:c>
      <x:c r="P191" s="14" t="str">
        <x:f>IF($A191="","",ROUND(SUMIFS('전표'!$F$7:$F$306,'전표'!$A$7:$A$306,$A191)-SUMIFS('전표'!$G$7:$G$306,'전표'!$A$7:$A$306,$A191),0))</x:f>
      </x:c>
      <x:c r="Q191" s="14" t="n">
        <x:f>IF(ISNUMBER($P191),IF(ABS($P191)&gt;=1,1,0),0)</x:f>
        <x:v>0</x:v>
      </x:c>
    </x:row>
    <x:row r="192">
      <x:c r="A192" s="7"/>
      <x:c r="B192" s="11"/>
      <x:c r="C192" s="7"/>
      <x:c r="D192" s="7"/>
      <x:c r="E192" s="7"/>
      <x:c r="F192" s="13"/>
      <x:c r="G192" s="13"/>
      <x:c r="H192" s="13"/>
      <x:c r="I192" s="7"/>
      <x:c r="J192" s="7"/>
      <x:c r="K192" s="9" t="str">
        <x:f>IF($B192="","",TEXT($B192,"yyyy-mm"))</x:f>
      </x:c>
      <x:c r="L192" s="9" t="str">
        <x:f>IF($E192="","",IFERROR(INDEX('계정과목'!$B$6:$B$56,MATCH($E192,'계정과목'!$A$6:$A$56,0)),"미등록"))</x:f>
      </x:c>
      <x:c r="M192" s="9" t="str">
        <x:f>IF($E192="","",IFERROR(INDEX('계정과목'!$C$6:$C$56,MATCH($E192,'계정과목'!$A$6:$A$56,0)),""))</x:f>
      </x:c>
      <x:c r="N192" s="9" t="str">
        <x:f>IF($E192="","",IFERROR(INDEX('계정과목'!$D$6:$D$56,MATCH($E192,'계정과목'!$A$6:$A$56,0)),""))</x:f>
      </x:c>
      <x:c r="O192" s="9" t="str">
        <x:f>IF($E192="","",IF(COUNTIF('계정과목'!$A$6:$A$56,$E192)=0,"미등록","정상"))</x:f>
      </x:c>
      <x:c r="P192" s="14" t="str">
        <x:f>IF($A192="","",ROUND(SUMIFS('전표'!$F$7:$F$306,'전표'!$A$7:$A$306,$A192)-SUMIFS('전표'!$G$7:$G$306,'전표'!$A$7:$A$306,$A192),0))</x:f>
      </x:c>
      <x:c r="Q192" s="14" t="n">
        <x:f>IF(ISNUMBER($P192),IF(ABS($P192)&gt;=1,1,0),0)</x:f>
        <x:v>0</x:v>
      </x:c>
    </x:row>
    <x:row r="193">
      <x:c r="A193" s="7"/>
      <x:c r="B193" s="11"/>
      <x:c r="C193" s="7"/>
      <x:c r="D193" s="7"/>
      <x:c r="E193" s="7"/>
      <x:c r="F193" s="13"/>
      <x:c r="G193" s="13"/>
      <x:c r="H193" s="13"/>
      <x:c r="I193" s="7"/>
      <x:c r="J193" s="7"/>
      <x:c r="K193" s="9" t="str">
        <x:f>IF($B193="","",TEXT($B193,"yyyy-mm"))</x:f>
      </x:c>
      <x:c r="L193" s="9" t="str">
        <x:f>IF($E193="","",IFERROR(INDEX('계정과목'!$B$6:$B$56,MATCH($E193,'계정과목'!$A$6:$A$56,0)),"미등록"))</x:f>
      </x:c>
      <x:c r="M193" s="9" t="str">
        <x:f>IF($E193="","",IFERROR(INDEX('계정과목'!$C$6:$C$56,MATCH($E193,'계정과목'!$A$6:$A$56,0)),""))</x:f>
      </x:c>
      <x:c r="N193" s="9" t="str">
        <x:f>IF($E193="","",IFERROR(INDEX('계정과목'!$D$6:$D$56,MATCH($E193,'계정과목'!$A$6:$A$56,0)),""))</x:f>
      </x:c>
      <x:c r="O193" s="9" t="str">
        <x:f>IF($E193="","",IF(COUNTIF('계정과목'!$A$6:$A$56,$E193)=0,"미등록","정상"))</x:f>
      </x:c>
      <x:c r="P193" s="14" t="str">
        <x:f>IF($A193="","",ROUND(SUMIFS('전표'!$F$7:$F$306,'전표'!$A$7:$A$306,$A193)-SUMIFS('전표'!$G$7:$G$306,'전표'!$A$7:$A$306,$A193),0))</x:f>
      </x:c>
      <x:c r="Q193" s="14" t="n">
        <x:f>IF(ISNUMBER($P193),IF(ABS($P193)&gt;=1,1,0),0)</x:f>
        <x:v>0</x:v>
      </x:c>
    </x:row>
    <x:row r="194">
      <x:c r="A194" s="7"/>
      <x:c r="B194" s="11"/>
      <x:c r="C194" s="7"/>
      <x:c r="D194" s="7"/>
      <x:c r="E194" s="7"/>
      <x:c r="F194" s="13"/>
      <x:c r="G194" s="13"/>
      <x:c r="H194" s="13"/>
      <x:c r="I194" s="7"/>
      <x:c r="J194" s="7"/>
      <x:c r="K194" s="9" t="str">
        <x:f>IF($B194="","",TEXT($B194,"yyyy-mm"))</x:f>
      </x:c>
      <x:c r="L194" s="9" t="str">
        <x:f>IF($E194="","",IFERROR(INDEX('계정과목'!$B$6:$B$56,MATCH($E194,'계정과목'!$A$6:$A$56,0)),"미등록"))</x:f>
      </x:c>
      <x:c r="M194" s="9" t="str">
        <x:f>IF($E194="","",IFERROR(INDEX('계정과목'!$C$6:$C$56,MATCH($E194,'계정과목'!$A$6:$A$56,0)),""))</x:f>
      </x:c>
      <x:c r="N194" s="9" t="str">
        <x:f>IF($E194="","",IFERROR(INDEX('계정과목'!$D$6:$D$56,MATCH($E194,'계정과목'!$A$6:$A$56,0)),""))</x:f>
      </x:c>
      <x:c r="O194" s="9" t="str">
        <x:f>IF($E194="","",IF(COUNTIF('계정과목'!$A$6:$A$56,$E194)=0,"미등록","정상"))</x:f>
      </x:c>
      <x:c r="P194" s="14" t="str">
        <x:f>IF($A194="","",ROUND(SUMIFS('전표'!$F$7:$F$306,'전표'!$A$7:$A$306,$A194)-SUMIFS('전표'!$G$7:$G$306,'전표'!$A$7:$A$306,$A194),0))</x:f>
      </x:c>
      <x:c r="Q194" s="14" t="n">
        <x:f>IF(ISNUMBER($P194),IF(ABS($P194)&gt;=1,1,0),0)</x:f>
        <x:v>0</x:v>
      </x:c>
    </x:row>
    <x:row r="195">
      <x:c r="A195" s="7"/>
      <x:c r="B195" s="11"/>
      <x:c r="C195" s="7"/>
      <x:c r="D195" s="7"/>
      <x:c r="E195" s="7"/>
      <x:c r="F195" s="13"/>
      <x:c r="G195" s="13"/>
      <x:c r="H195" s="13"/>
      <x:c r="I195" s="7"/>
      <x:c r="J195" s="7"/>
      <x:c r="K195" s="9" t="str">
        <x:f>IF($B195="","",TEXT($B195,"yyyy-mm"))</x:f>
      </x:c>
      <x:c r="L195" s="9" t="str">
        <x:f>IF($E195="","",IFERROR(INDEX('계정과목'!$B$6:$B$56,MATCH($E195,'계정과목'!$A$6:$A$56,0)),"미등록"))</x:f>
      </x:c>
      <x:c r="M195" s="9" t="str">
        <x:f>IF($E195="","",IFERROR(INDEX('계정과목'!$C$6:$C$56,MATCH($E195,'계정과목'!$A$6:$A$56,0)),""))</x:f>
      </x:c>
      <x:c r="N195" s="9" t="str">
        <x:f>IF($E195="","",IFERROR(INDEX('계정과목'!$D$6:$D$56,MATCH($E195,'계정과목'!$A$6:$A$56,0)),""))</x:f>
      </x:c>
      <x:c r="O195" s="9" t="str">
        <x:f>IF($E195="","",IF(COUNTIF('계정과목'!$A$6:$A$56,$E195)=0,"미등록","정상"))</x:f>
      </x:c>
      <x:c r="P195" s="14" t="str">
        <x:f>IF($A195="","",ROUND(SUMIFS('전표'!$F$7:$F$306,'전표'!$A$7:$A$306,$A195)-SUMIFS('전표'!$G$7:$G$306,'전표'!$A$7:$A$306,$A195),0))</x:f>
      </x:c>
      <x:c r="Q195" s="14" t="n">
        <x:f>IF(ISNUMBER($P195),IF(ABS($P195)&gt;=1,1,0),0)</x:f>
        <x:v>0</x:v>
      </x:c>
    </x:row>
    <x:row r="196">
      <x:c r="A196" s="7"/>
      <x:c r="B196" s="11"/>
      <x:c r="C196" s="7"/>
      <x:c r="D196" s="7"/>
      <x:c r="E196" s="7"/>
      <x:c r="F196" s="13"/>
      <x:c r="G196" s="13"/>
      <x:c r="H196" s="13"/>
      <x:c r="I196" s="7"/>
      <x:c r="J196" s="7"/>
      <x:c r="K196" s="9" t="str">
        <x:f>IF($B196="","",TEXT($B196,"yyyy-mm"))</x:f>
      </x:c>
      <x:c r="L196" s="9" t="str">
        <x:f>IF($E196="","",IFERROR(INDEX('계정과목'!$B$6:$B$56,MATCH($E196,'계정과목'!$A$6:$A$56,0)),"미등록"))</x:f>
      </x:c>
      <x:c r="M196" s="9" t="str">
        <x:f>IF($E196="","",IFERROR(INDEX('계정과목'!$C$6:$C$56,MATCH($E196,'계정과목'!$A$6:$A$56,0)),""))</x:f>
      </x:c>
      <x:c r="N196" s="9" t="str">
        <x:f>IF($E196="","",IFERROR(INDEX('계정과목'!$D$6:$D$56,MATCH($E196,'계정과목'!$A$6:$A$56,0)),""))</x:f>
      </x:c>
      <x:c r="O196" s="9" t="str">
        <x:f>IF($E196="","",IF(COUNTIF('계정과목'!$A$6:$A$56,$E196)=0,"미등록","정상"))</x:f>
      </x:c>
      <x:c r="P196" s="14" t="str">
        <x:f>IF($A196="","",ROUND(SUMIFS('전표'!$F$7:$F$306,'전표'!$A$7:$A$306,$A196)-SUMIFS('전표'!$G$7:$G$306,'전표'!$A$7:$A$306,$A196),0))</x:f>
      </x:c>
      <x:c r="Q196" s="14" t="n">
        <x:f>IF(ISNUMBER($P196),IF(ABS($P196)&gt;=1,1,0),0)</x:f>
        <x:v>0</x:v>
      </x:c>
    </x:row>
    <x:row r="197">
      <x:c r="A197" s="7"/>
      <x:c r="B197" s="11"/>
      <x:c r="C197" s="7"/>
      <x:c r="D197" s="7"/>
      <x:c r="E197" s="7"/>
      <x:c r="F197" s="13"/>
      <x:c r="G197" s="13"/>
      <x:c r="H197" s="13"/>
      <x:c r="I197" s="7"/>
      <x:c r="J197" s="7"/>
      <x:c r="K197" s="9" t="str">
        <x:f>IF($B197="","",TEXT($B197,"yyyy-mm"))</x:f>
      </x:c>
      <x:c r="L197" s="9" t="str">
        <x:f>IF($E197="","",IFERROR(INDEX('계정과목'!$B$6:$B$56,MATCH($E197,'계정과목'!$A$6:$A$56,0)),"미등록"))</x:f>
      </x:c>
      <x:c r="M197" s="9" t="str">
        <x:f>IF($E197="","",IFERROR(INDEX('계정과목'!$C$6:$C$56,MATCH($E197,'계정과목'!$A$6:$A$56,0)),""))</x:f>
      </x:c>
      <x:c r="N197" s="9" t="str">
        <x:f>IF($E197="","",IFERROR(INDEX('계정과목'!$D$6:$D$56,MATCH($E197,'계정과목'!$A$6:$A$56,0)),""))</x:f>
      </x:c>
      <x:c r="O197" s="9" t="str">
        <x:f>IF($E197="","",IF(COUNTIF('계정과목'!$A$6:$A$56,$E197)=0,"미등록","정상"))</x:f>
      </x:c>
      <x:c r="P197" s="14" t="str">
        <x:f>IF($A197="","",ROUND(SUMIFS('전표'!$F$7:$F$306,'전표'!$A$7:$A$306,$A197)-SUMIFS('전표'!$G$7:$G$306,'전표'!$A$7:$A$306,$A197),0))</x:f>
      </x:c>
      <x:c r="Q197" s="14" t="n">
        <x:f>IF(ISNUMBER($P197),IF(ABS($P197)&gt;=1,1,0),0)</x:f>
        <x:v>0</x:v>
      </x:c>
    </x:row>
    <x:row r="198">
      <x:c r="A198" s="7"/>
      <x:c r="B198" s="11"/>
      <x:c r="C198" s="7"/>
      <x:c r="D198" s="7"/>
      <x:c r="E198" s="7"/>
      <x:c r="F198" s="13"/>
      <x:c r="G198" s="13"/>
      <x:c r="H198" s="13"/>
      <x:c r="I198" s="7"/>
      <x:c r="J198" s="7"/>
      <x:c r="K198" s="9" t="str">
        <x:f>IF($B198="","",TEXT($B198,"yyyy-mm"))</x:f>
      </x:c>
      <x:c r="L198" s="9" t="str">
        <x:f>IF($E198="","",IFERROR(INDEX('계정과목'!$B$6:$B$56,MATCH($E198,'계정과목'!$A$6:$A$56,0)),"미등록"))</x:f>
      </x:c>
      <x:c r="M198" s="9" t="str">
        <x:f>IF($E198="","",IFERROR(INDEX('계정과목'!$C$6:$C$56,MATCH($E198,'계정과목'!$A$6:$A$56,0)),""))</x:f>
      </x:c>
      <x:c r="N198" s="9" t="str">
        <x:f>IF($E198="","",IFERROR(INDEX('계정과목'!$D$6:$D$56,MATCH($E198,'계정과목'!$A$6:$A$56,0)),""))</x:f>
      </x:c>
      <x:c r="O198" s="9" t="str">
        <x:f>IF($E198="","",IF(COUNTIF('계정과목'!$A$6:$A$56,$E198)=0,"미등록","정상"))</x:f>
      </x:c>
      <x:c r="P198" s="14" t="str">
        <x:f>IF($A198="","",ROUND(SUMIFS('전표'!$F$7:$F$306,'전표'!$A$7:$A$306,$A198)-SUMIFS('전표'!$G$7:$G$306,'전표'!$A$7:$A$306,$A198),0))</x:f>
      </x:c>
      <x:c r="Q198" s="14" t="n">
        <x:f>IF(ISNUMBER($P198),IF(ABS($P198)&gt;=1,1,0),0)</x:f>
        <x:v>0</x:v>
      </x:c>
    </x:row>
    <x:row r="199">
      <x:c r="A199" s="7"/>
      <x:c r="B199" s="11"/>
      <x:c r="C199" s="7"/>
      <x:c r="D199" s="7"/>
      <x:c r="E199" s="7"/>
      <x:c r="F199" s="13"/>
      <x:c r="G199" s="13"/>
      <x:c r="H199" s="13"/>
      <x:c r="I199" s="7"/>
      <x:c r="J199" s="7"/>
      <x:c r="K199" s="9" t="str">
        <x:f>IF($B199="","",TEXT($B199,"yyyy-mm"))</x:f>
      </x:c>
      <x:c r="L199" s="9" t="str">
        <x:f>IF($E199="","",IFERROR(INDEX('계정과목'!$B$6:$B$56,MATCH($E199,'계정과목'!$A$6:$A$56,0)),"미등록"))</x:f>
      </x:c>
      <x:c r="M199" s="9" t="str">
        <x:f>IF($E199="","",IFERROR(INDEX('계정과목'!$C$6:$C$56,MATCH($E199,'계정과목'!$A$6:$A$56,0)),""))</x:f>
      </x:c>
      <x:c r="N199" s="9" t="str">
        <x:f>IF($E199="","",IFERROR(INDEX('계정과목'!$D$6:$D$56,MATCH($E199,'계정과목'!$A$6:$A$56,0)),""))</x:f>
      </x:c>
      <x:c r="O199" s="9" t="str">
        <x:f>IF($E199="","",IF(COUNTIF('계정과목'!$A$6:$A$56,$E199)=0,"미등록","정상"))</x:f>
      </x:c>
      <x:c r="P199" s="14" t="str">
        <x:f>IF($A199="","",ROUND(SUMIFS('전표'!$F$7:$F$306,'전표'!$A$7:$A$306,$A199)-SUMIFS('전표'!$G$7:$G$306,'전표'!$A$7:$A$306,$A199),0))</x:f>
      </x:c>
      <x:c r="Q199" s="14" t="n">
        <x:f>IF(ISNUMBER($P199),IF(ABS($P199)&gt;=1,1,0),0)</x:f>
        <x:v>0</x:v>
      </x:c>
    </x:row>
    <x:row r="200">
      <x:c r="A200" s="7"/>
      <x:c r="B200" s="11"/>
      <x:c r="C200" s="7"/>
      <x:c r="D200" s="7"/>
      <x:c r="E200" s="7"/>
      <x:c r="F200" s="13"/>
      <x:c r="G200" s="13"/>
      <x:c r="H200" s="13"/>
      <x:c r="I200" s="7"/>
      <x:c r="J200" s="7"/>
      <x:c r="K200" s="9" t="str">
        <x:f>IF($B200="","",TEXT($B200,"yyyy-mm"))</x:f>
      </x:c>
      <x:c r="L200" s="9" t="str">
        <x:f>IF($E200="","",IFERROR(INDEX('계정과목'!$B$6:$B$56,MATCH($E200,'계정과목'!$A$6:$A$56,0)),"미등록"))</x:f>
      </x:c>
      <x:c r="M200" s="9" t="str">
        <x:f>IF($E200="","",IFERROR(INDEX('계정과목'!$C$6:$C$56,MATCH($E200,'계정과목'!$A$6:$A$56,0)),""))</x:f>
      </x:c>
      <x:c r="N200" s="9" t="str">
        <x:f>IF($E200="","",IFERROR(INDEX('계정과목'!$D$6:$D$56,MATCH($E200,'계정과목'!$A$6:$A$56,0)),""))</x:f>
      </x:c>
      <x:c r="O200" s="9" t="str">
        <x:f>IF($E200="","",IF(COUNTIF('계정과목'!$A$6:$A$56,$E200)=0,"미등록","정상"))</x:f>
      </x:c>
      <x:c r="P200" s="14" t="str">
        <x:f>IF($A200="","",ROUND(SUMIFS('전표'!$F$7:$F$306,'전표'!$A$7:$A$306,$A200)-SUMIFS('전표'!$G$7:$G$306,'전표'!$A$7:$A$306,$A200),0))</x:f>
      </x:c>
      <x:c r="Q200" s="14" t="n">
        <x:f>IF(ISNUMBER($P200),IF(ABS($P200)&gt;=1,1,0),0)</x:f>
        <x:v>0</x:v>
      </x:c>
    </x:row>
    <x:row r="201">
      <x:c r="A201" s="7"/>
      <x:c r="B201" s="11"/>
      <x:c r="C201" s="7"/>
      <x:c r="D201" s="7"/>
      <x:c r="E201" s="7"/>
      <x:c r="F201" s="13"/>
      <x:c r="G201" s="13"/>
      <x:c r="H201" s="13"/>
      <x:c r="I201" s="7"/>
      <x:c r="J201" s="7"/>
      <x:c r="K201" s="9" t="str">
        <x:f>IF($B201="","",TEXT($B201,"yyyy-mm"))</x:f>
      </x:c>
      <x:c r="L201" s="9" t="str">
        <x:f>IF($E201="","",IFERROR(INDEX('계정과목'!$B$6:$B$56,MATCH($E201,'계정과목'!$A$6:$A$56,0)),"미등록"))</x:f>
      </x:c>
      <x:c r="M201" s="9" t="str">
        <x:f>IF($E201="","",IFERROR(INDEX('계정과목'!$C$6:$C$56,MATCH($E201,'계정과목'!$A$6:$A$56,0)),""))</x:f>
      </x:c>
      <x:c r="N201" s="9" t="str">
        <x:f>IF($E201="","",IFERROR(INDEX('계정과목'!$D$6:$D$56,MATCH($E201,'계정과목'!$A$6:$A$56,0)),""))</x:f>
      </x:c>
      <x:c r="O201" s="9" t="str">
        <x:f>IF($E201="","",IF(COUNTIF('계정과목'!$A$6:$A$56,$E201)=0,"미등록","정상"))</x:f>
      </x:c>
      <x:c r="P201" s="14" t="str">
        <x:f>IF($A201="","",ROUND(SUMIFS('전표'!$F$7:$F$306,'전표'!$A$7:$A$306,$A201)-SUMIFS('전표'!$G$7:$G$306,'전표'!$A$7:$A$306,$A201),0))</x:f>
      </x:c>
      <x:c r="Q201" s="14" t="n">
        <x:f>IF(ISNUMBER($P201),IF(ABS($P201)&gt;=1,1,0),0)</x:f>
        <x:v>0</x:v>
      </x:c>
    </x:row>
    <x:row r="202">
      <x:c r="A202" s="7"/>
      <x:c r="B202" s="11"/>
      <x:c r="C202" s="7"/>
      <x:c r="D202" s="7"/>
      <x:c r="E202" s="7"/>
      <x:c r="F202" s="13"/>
      <x:c r="G202" s="13"/>
      <x:c r="H202" s="13"/>
      <x:c r="I202" s="7"/>
      <x:c r="J202" s="7"/>
      <x:c r="K202" s="9" t="str">
        <x:f>IF($B202="","",TEXT($B202,"yyyy-mm"))</x:f>
      </x:c>
      <x:c r="L202" s="9" t="str">
        <x:f>IF($E202="","",IFERROR(INDEX('계정과목'!$B$6:$B$56,MATCH($E202,'계정과목'!$A$6:$A$56,0)),"미등록"))</x:f>
      </x:c>
      <x:c r="M202" s="9" t="str">
        <x:f>IF($E202="","",IFERROR(INDEX('계정과목'!$C$6:$C$56,MATCH($E202,'계정과목'!$A$6:$A$56,0)),""))</x:f>
      </x:c>
      <x:c r="N202" s="9" t="str">
        <x:f>IF($E202="","",IFERROR(INDEX('계정과목'!$D$6:$D$56,MATCH($E202,'계정과목'!$A$6:$A$56,0)),""))</x:f>
      </x:c>
      <x:c r="O202" s="9" t="str">
        <x:f>IF($E202="","",IF(COUNTIF('계정과목'!$A$6:$A$56,$E202)=0,"미등록","정상"))</x:f>
      </x:c>
      <x:c r="P202" s="14" t="str">
        <x:f>IF($A202="","",ROUND(SUMIFS('전표'!$F$7:$F$306,'전표'!$A$7:$A$306,$A202)-SUMIFS('전표'!$G$7:$G$306,'전표'!$A$7:$A$306,$A202),0))</x:f>
      </x:c>
      <x:c r="Q202" s="14" t="n">
        <x:f>IF(ISNUMBER($P202),IF(ABS($P202)&gt;=1,1,0),0)</x:f>
        <x:v>0</x:v>
      </x:c>
    </x:row>
    <x:row r="203">
      <x:c r="A203" s="7"/>
      <x:c r="B203" s="11"/>
      <x:c r="C203" s="7"/>
      <x:c r="D203" s="7"/>
      <x:c r="E203" s="7"/>
      <x:c r="F203" s="13"/>
      <x:c r="G203" s="13"/>
      <x:c r="H203" s="13"/>
      <x:c r="I203" s="7"/>
      <x:c r="J203" s="7"/>
      <x:c r="K203" s="9" t="str">
        <x:f>IF($B203="","",TEXT($B203,"yyyy-mm"))</x:f>
      </x:c>
      <x:c r="L203" s="9" t="str">
        <x:f>IF($E203="","",IFERROR(INDEX('계정과목'!$B$6:$B$56,MATCH($E203,'계정과목'!$A$6:$A$56,0)),"미등록"))</x:f>
      </x:c>
      <x:c r="M203" s="9" t="str">
        <x:f>IF($E203="","",IFERROR(INDEX('계정과목'!$C$6:$C$56,MATCH($E203,'계정과목'!$A$6:$A$56,0)),""))</x:f>
      </x:c>
      <x:c r="N203" s="9" t="str">
        <x:f>IF($E203="","",IFERROR(INDEX('계정과목'!$D$6:$D$56,MATCH($E203,'계정과목'!$A$6:$A$56,0)),""))</x:f>
      </x:c>
      <x:c r="O203" s="9" t="str">
        <x:f>IF($E203="","",IF(COUNTIF('계정과목'!$A$6:$A$56,$E203)=0,"미등록","정상"))</x:f>
      </x:c>
      <x:c r="P203" s="14" t="str">
        <x:f>IF($A203="","",ROUND(SUMIFS('전표'!$F$7:$F$306,'전표'!$A$7:$A$306,$A203)-SUMIFS('전표'!$G$7:$G$306,'전표'!$A$7:$A$306,$A203),0))</x:f>
      </x:c>
      <x:c r="Q203" s="14" t="n">
        <x:f>IF(ISNUMBER($P203),IF(ABS($P203)&gt;=1,1,0),0)</x:f>
        <x:v>0</x:v>
      </x:c>
    </x:row>
    <x:row r="204">
      <x:c r="A204" s="7"/>
      <x:c r="B204" s="11"/>
      <x:c r="C204" s="7"/>
      <x:c r="D204" s="7"/>
      <x:c r="E204" s="7"/>
      <x:c r="F204" s="13"/>
      <x:c r="G204" s="13"/>
      <x:c r="H204" s="13"/>
      <x:c r="I204" s="7"/>
      <x:c r="J204" s="7"/>
      <x:c r="K204" s="9" t="str">
        <x:f>IF($B204="","",TEXT($B204,"yyyy-mm"))</x:f>
      </x:c>
      <x:c r="L204" s="9" t="str">
        <x:f>IF($E204="","",IFERROR(INDEX('계정과목'!$B$6:$B$56,MATCH($E204,'계정과목'!$A$6:$A$56,0)),"미등록"))</x:f>
      </x:c>
      <x:c r="M204" s="9" t="str">
        <x:f>IF($E204="","",IFERROR(INDEX('계정과목'!$C$6:$C$56,MATCH($E204,'계정과목'!$A$6:$A$56,0)),""))</x:f>
      </x:c>
      <x:c r="N204" s="9" t="str">
        <x:f>IF($E204="","",IFERROR(INDEX('계정과목'!$D$6:$D$56,MATCH($E204,'계정과목'!$A$6:$A$56,0)),""))</x:f>
      </x:c>
      <x:c r="O204" s="9" t="str">
        <x:f>IF($E204="","",IF(COUNTIF('계정과목'!$A$6:$A$56,$E204)=0,"미등록","정상"))</x:f>
      </x:c>
      <x:c r="P204" s="14" t="str">
        <x:f>IF($A204="","",ROUND(SUMIFS('전표'!$F$7:$F$306,'전표'!$A$7:$A$306,$A204)-SUMIFS('전표'!$G$7:$G$306,'전표'!$A$7:$A$306,$A204),0))</x:f>
      </x:c>
      <x:c r="Q204" s="14" t="n">
        <x:f>IF(ISNUMBER($P204),IF(ABS($P204)&gt;=1,1,0),0)</x:f>
        <x:v>0</x:v>
      </x:c>
    </x:row>
    <x:row r="205">
      <x:c r="A205" s="7"/>
      <x:c r="B205" s="11"/>
      <x:c r="C205" s="7"/>
      <x:c r="D205" s="7"/>
      <x:c r="E205" s="7"/>
      <x:c r="F205" s="13"/>
      <x:c r="G205" s="13"/>
      <x:c r="H205" s="13"/>
      <x:c r="I205" s="7"/>
      <x:c r="J205" s="7"/>
      <x:c r="K205" s="9" t="str">
        <x:f>IF($B205="","",TEXT($B205,"yyyy-mm"))</x:f>
      </x:c>
      <x:c r="L205" s="9" t="str">
        <x:f>IF($E205="","",IFERROR(INDEX('계정과목'!$B$6:$B$56,MATCH($E205,'계정과목'!$A$6:$A$56,0)),"미등록"))</x:f>
      </x:c>
      <x:c r="M205" s="9" t="str">
        <x:f>IF($E205="","",IFERROR(INDEX('계정과목'!$C$6:$C$56,MATCH($E205,'계정과목'!$A$6:$A$56,0)),""))</x:f>
      </x:c>
      <x:c r="N205" s="9" t="str">
        <x:f>IF($E205="","",IFERROR(INDEX('계정과목'!$D$6:$D$56,MATCH($E205,'계정과목'!$A$6:$A$56,0)),""))</x:f>
      </x:c>
      <x:c r="O205" s="9" t="str">
        <x:f>IF($E205="","",IF(COUNTIF('계정과목'!$A$6:$A$56,$E205)=0,"미등록","정상"))</x:f>
      </x:c>
      <x:c r="P205" s="14" t="str">
        <x:f>IF($A205="","",ROUND(SUMIFS('전표'!$F$7:$F$306,'전표'!$A$7:$A$306,$A205)-SUMIFS('전표'!$G$7:$G$306,'전표'!$A$7:$A$306,$A205),0))</x:f>
      </x:c>
      <x:c r="Q205" s="14" t="n">
        <x:f>IF(ISNUMBER($P205),IF(ABS($P205)&gt;=1,1,0),0)</x:f>
        <x:v>0</x:v>
      </x:c>
    </x:row>
    <x:row r="206">
      <x:c r="A206" s="7"/>
      <x:c r="B206" s="11"/>
      <x:c r="C206" s="7"/>
      <x:c r="D206" s="7"/>
      <x:c r="E206" s="7"/>
      <x:c r="F206" s="13"/>
      <x:c r="G206" s="13"/>
      <x:c r="H206" s="13"/>
      <x:c r="I206" s="7"/>
      <x:c r="J206" s="7"/>
      <x:c r="K206" s="9" t="str">
        <x:f>IF($B206="","",TEXT($B206,"yyyy-mm"))</x:f>
      </x:c>
      <x:c r="L206" s="9" t="str">
        <x:f>IF($E206="","",IFERROR(INDEX('계정과목'!$B$6:$B$56,MATCH($E206,'계정과목'!$A$6:$A$56,0)),"미등록"))</x:f>
      </x:c>
      <x:c r="M206" s="9" t="str">
        <x:f>IF($E206="","",IFERROR(INDEX('계정과목'!$C$6:$C$56,MATCH($E206,'계정과목'!$A$6:$A$56,0)),""))</x:f>
      </x:c>
      <x:c r="N206" s="9" t="str">
        <x:f>IF($E206="","",IFERROR(INDEX('계정과목'!$D$6:$D$56,MATCH($E206,'계정과목'!$A$6:$A$56,0)),""))</x:f>
      </x:c>
      <x:c r="O206" s="9" t="str">
        <x:f>IF($E206="","",IF(COUNTIF('계정과목'!$A$6:$A$56,$E206)=0,"미등록","정상"))</x:f>
      </x:c>
      <x:c r="P206" s="14" t="str">
        <x:f>IF($A206="","",ROUND(SUMIFS('전표'!$F$7:$F$306,'전표'!$A$7:$A$306,$A206)-SUMIFS('전표'!$G$7:$G$306,'전표'!$A$7:$A$306,$A206),0))</x:f>
      </x:c>
      <x:c r="Q206" s="14" t="n">
        <x:f>IF(ISNUMBER($P206),IF(ABS($P206)&gt;=1,1,0),0)</x:f>
        <x:v>0</x:v>
      </x:c>
    </x:row>
    <x:row r="207">
      <x:c r="A207" s="7"/>
      <x:c r="B207" s="11"/>
      <x:c r="C207" s="7"/>
      <x:c r="D207" s="7"/>
      <x:c r="E207" s="7"/>
      <x:c r="F207" s="13"/>
      <x:c r="G207" s="13"/>
      <x:c r="H207" s="13"/>
      <x:c r="I207" s="7"/>
      <x:c r="J207" s="7"/>
      <x:c r="K207" s="9" t="str">
        <x:f>IF($B207="","",TEXT($B207,"yyyy-mm"))</x:f>
      </x:c>
      <x:c r="L207" s="9" t="str">
        <x:f>IF($E207="","",IFERROR(INDEX('계정과목'!$B$6:$B$56,MATCH($E207,'계정과목'!$A$6:$A$56,0)),"미등록"))</x:f>
      </x:c>
      <x:c r="M207" s="9" t="str">
        <x:f>IF($E207="","",IFERROR(INDEX('계정과목'!$C$6:$C$56,MATCH($E207,'계정과목'!$A$6:$A$56,0)),""))</x:f>
      </x:c>
      <x:c r="N207" s="9" t="str">
        <x:f>IF($E207="","",IFERROR(INDEX('계정과목'!$D$6:$D$56,MATCH($E207,'계정과목'!$A$6:$A$56,0)),""))</x:f>
      </x:c>
      <x:c r="O207" s="9" t="str">
        <x:f>IF($E207="","",IF(COUNTIF('계정과목'!$A$6:$A$56,$E207)=0,"미등록","정상"))</x:f>
      </x:c>
      <x:c r="P207" s="14" t="str">
        <x:f>IF($A207="","",ROUND(SUMIFS('전표'!$F$7:$F$306,'전표'!$A$7:$A$306,$A207)-SUMIFS('전표'!$G$7:$G$306,'전표'!$A$7:$A$306,$A207),0))</x:f>
      </x:c>
      <x:c r="Q207" s="14" t="n">
        <x:f>IF(ISNUMBER($P207),IF(ABS($P207)&gt;=1,1,0),0)</x:f>
        <x:v>0</x:v>
      </x:c>
    </x:row>
    <x:row r="208">
      <x:c r="A208" s="7"/>
      <x:c r="B208" s="11"/>
      <x:c r="C208" s="7"/>
      <x:c r="D208" s="7"/>
      <x:c r="E208" s="7"/>
      <x:c r="F208" s="13"/>
      <x:c r="G208" s="13"/>
      <x:c r="H208" s="13"/>
      <x:c r="I208" s="7"/>
      <x:c r="J208" s="7"/>
      <x:c r="K208" s="9" t="str">
        <x:f>IF($B208="","",TEXT($B208,"yyyy-mm"))</x:f>
      </x:c>
      <x:c r="L208" s="9" t="str">
        <x:f>IF($E208="","",IFERROR(INDEX('계정과목'!$B$6:$B$56,MATCH($E208,'계정과목'!$A$6:$A$56,0)),"미등록"))</x:f>
      </x:c>
      <x:c r="M208" s="9" t="str">
        <x:f>IF($E208="","",IFERROR(INDEX('계정과목'!$C$6:$C$56,MATCH($E208,'계정과목'!$A$6:$A$56,0)),""))</x:f>
      </x:c>
      <x:c r="N208" s="9" t="str">
        <x:f>IF($E208="","",IFERROR(INDEX('계정과목'!$D$6:$D$56,MATCH($E208,'계정과목'!$A$6:$A$56,0)),""))</x:f>
      </x:c>
      <x:c r="O208" s="9" t="str">
        <x:f>IF($E208="","",IF(COUNTIF('계정과목'!$A$6:$A$56,$E208)=0,"미등록","정상"))</x:f>
      </x:c>
      <x:c r="P208" s="14" t="str">
        <x:f>IF($A208="","",ROUND(SUMIFS('전표'!$F$7:$F$306,'전표'!$A$7:$A$306,$A208)-SUMIFS('전표'!$G$7:$G$306,'전표'!$A$7:$A$306,$A208),0))</x:f>
      </x:c>
      <x:c r="Q208" s="14" t="n">
        <x:f>IF(ISNUMBER($P208),IF(ABS($P208)&gt;=1,1,0),0)</x:f>
        <x:v>0</x:v>
      </x:c>
    </x:row>
    <x:row r="209">
      <x:c r="A209" s="7"/>
      <x:c r="B209" s="11"/>
      <x:c r="C209" s="7"/>
      <x:c r="D209" s="7"/>
      <x:c r="E209" s="7"/>
      <x:c r="F209" s="13"/>
      <x:c r="G209" s="13"/>
      <x:c r="H209" s="13"/>
      <x:c r="I209" s="7"/>
      <x:c r="J209" s="7"/>
      <x:c r="K209" s="9" t="str">
        <x:f>IF($B209="","",TEXT($B209,"yyyy-mm"))</x:f>
      </x:c>
      <x:c r="L209" s="9" t="str">
        <x:f>IF($E209="","",IFERROR(INDEX('계정과목'!$B$6:$B$56,MATCH($E209,'계정과목'!$A$6:$A$56,0)),"미등록"))</x:f>
      </x:c>
      <x:c r="M209" s="9" t="str">
        <x:f>IF($E209="","",IFERROR(INDEX('계정과목'!$C$6:$C$56,MATCH($E209,'계정과목'!$A$6:$A$56,0)),""))</x:f>
      </x:c>
      <x:c r="N209" s="9" t="str">
        <x:f>IF($E209="","",IFERROR(INDEX('계정과목'!$D$6:$D$56,MATCH($E209,'계정과목'!$A$6:$A$56,0)),""))</x:f>
      </x:c>
      <x:c r="O209" s="9" t="str">
        <x:f>IF($E209="","",IF(COUNTIF('계정과목'!$A$6:$A$56,$E209)=0,"미등록","정상"))</x:f>
      </x:c>
      <x:c r="P209" s="14" t="str">
        <x:f>IF($A209="","",ROUND(SUMIFS('전표'!$F$7:$F$306,'전표'!$A$7:$A$306,$A209)-SUMIFS('전표'!$G$7:$G$306,'전표'!$A$7:$A$306,$A209),0))</x:f>
      </x:c>
      <x:c r="Q209" s="14" t="n">
        <x:f>IF(ISNUMBER($P209),IF(ABS($P209)&gt;=1,1,0),0)</x:f>
        <x:v>0</x:v>
      </x:c>
    </x:row>
    <x:row r="210">
      <x:c r="A210" s="7"/>
      <x:c r="B210" s="11"/>
      <x:c r="C210" s="7"/>
      <x:c r="D210" s="7"/>
      <x:c r="E210" s="7"/>
      <x:c r="F210" s="13"/>
      <x:c r="G210" s="13"/>
      <x:c r="H210" s="13"/>
      <x:c r="I210" s="7"/>
      <x:c r="J210" s="7"/>
      <x:c r="K210" s="9" t="str">
        <x:f>IF($B210="","",TEXT($B210,"yyyy-mm"))</x:f>
      </x:c>
      <x:c r="L210" s="9" t="str">
        <x:f>IF($E210="","",IFERROR(INDEX('계정과목'!$B$6:$B$56,MATCH($E210,'계정과목'!$A$6:$A$56,0)),"미등록"))</x:f>
      </x:c>
      <x:c r="M210" s="9" t="str">
        <x:f>IF($E210="","",IFERROR(INDEX('계정과목'!$C$6:$C$56,MATCH($E210,'계정과목'!$A$6:$A$56,0)),""))</x:f>
      </x:c>
      <x:c r="N210" s="9" t="str">
        <x:f>IF($E210="","",IFERROR(INDEX('계정과목'!$D$6:$D$56,MATCH($E210,'계정과목'!$A$6:$A$56,0)),""))</x:f>
      </x:c>
      <x:c r="O210" s="9" t="str">
        <x:f>IF($E210="","",IF(COUNTIF('계정과목'!$A$6:$A$56,$E210)=0,"미등록","정상"))</x:f>
      </x:c>
      <x:c r="P210" s="14" t="str">
        <x:f>IF($A210="","",ROUND(SUMIFS('전표'!$F$7:$F$306,'전표'!$A$7:$A$306,$A210)-SUMIFS('전표'!$G$7:$G$306,'전표'!$A$7:$A$306,$A210),0))</x:f>
      </x:c>
      <x:c r="Q210" s="14" t="n">
        <x:f>IF(ISNUMBER($P210),IF(ABS($P210)&gt;=1,1,0),0)</x:f>
        <x:v>0</x:v>
      </x:c>
    </x:row>
    <x:row r="211">
      <x:c r="A211" s="7"/>
      <x:c r="B211" s="11"/>
      <x:c r="C211" s="7"/>
      <x:c r="D211" s="7"/>
      <x:c r="E211" s="7"/>
      <x:c r="F211" s="13"/>
      <x:c r="G211" s="13"/>
      <x:c r="H211" s="13"/>
      <x:c r="I211" s="7"/>
      <x:c r="J211" s="7"/>
      <x:c r="K211" s="9" t="str">
        <x:f>IF($B211="","",TEXT($B211,"yyyy-mm"))</x:f>
      </x:c>
      <x:c r="L211" s="9" t="str">
        <x:f>IF($E211="","",IFERROR(INDEX('계정과목'!$B$6:$B$56,MATCH($E211,'계정과목'!$A$6:$A$56,0)),"미등록"))</x:f>
      </x:c>
      <x:c r="M211" s="9" t="str">
        <x:f>IF($E211="","",IFERROR(INDEX('계정과목'!$C$6:$C$56,MATCH($E211,'계정과목'!$A$6:$A$56,0)),""))</x:f>
      </x:c>
      <x:c r="N211" s="9" t="str">
        <x:f>IF($E211="","",IFERROR(INDEX('계정과목'!$D$6:$D$56,MATCH($E211,'계정과목'!$A$6:$A$56,0)),""))</x:f>
      </x:c>
      <x:c r="O211" s="9" t="str">
        <x:f>IF($E211="","",IF(COUNTIF('계정과목'!$A$6:$A$56,$E211)=0,"미등록","정상"))</x:f>
      </x:c>
      <x:c r="P211" s="14" t="str">
        <x:f>IF($A211="","",ROUND(SUMIFS('전표'!$F$7:$F$306,'전표'!$A$7:$A$306,$A211)-SUMIFS('전표'!$G$7:$G$306,'전표'!$A$7:$A$306,$A211),0))</x:f>
      </x:c>
      <x:c r="Q211" s="14" t="n">
        <x:f>IF(ISNUMBER($P211),IF(ABS($P211)&gt;=1,1,0),0)</x:f>
        <x:v>0</x:v>
      </x:c>
    </x:row>
    <x:row r="212">
      <x:c r="A212" s="7"/>
      <x:c r="B212" s="11"/>
      <x:c r="C212" s="7"/>
      <x:c r="D212" s="7"/>
      <x:c r="E212" s="7"/>
      <x:c r="F212" s="13"/>
      <x:c r="G212" s="13"/>
      <x:c r="H212" s="13"/>
      <x:c r="I212" s="7"/>
      <x:c r="J212" s="7"/>
      <x:c r="K212" s="9" t="str">
        <x:f>IF($B212="","",TEXT($B212,"yyyy-mm"))</x:f>
      </x:c>
      <x:c r="L212" s="9" t="str">
        <x:f>IF($E212="","",IFERROR(INDEX('계정과목'!$B$6:$B$56,MATCH($E212,'계정과목'!$A$6:$A$56,0)),"미등록"))</x:f>
      </x:c>
      <x:c r="M212" s="9" t="str">
        <x:f>IF($E212="","",IFERROR(INDEX('계정과목'!$C$6:$C$56,MATCH($E212,'계정과목'!$A$6:$A$56,0)),""))</x:f>
      </x:c>
      <x:c r="N212" s="9" t="str">
        <x:f>IF($E212="","",IFERROR(INDEX('계정과목'!$D$6:$D$56,MATCH($E212,'계정과목'!$A$6:$A$56,0)),""))</x:f>
      </x:c>
      <x:c r="O212" s="9" t="str">
        <x:f>IF($E212="","",IF(COUNTIF('계정과목'!$A$6:$A$56,$E212)=0,"미등록","정상"))</x:f>
      </x:c>
      <x:c r="P212" s="14" t="str">
        <x:f>IF($A212="","",ROUND(SUMIFS('전표'!$F$7:$F$306,'전표'!$A$7:$A$306,$A212)-SUMIFS('전표'!$G$7:$G$306,'전표'!$A$7:$A$306,$A212),0))</x:f>
      </x:c>
      <x:c r="Q212" s="14" t="n">
        <x:f>IF(ISNUMBER($P212),IF(ABS($P212)&gt;=1,1,0),0)</x:f>
        <x:v>0</x:v>
      </x:c>
    </x:row>
    <x:row r="213">
      <x:c r="A213" s="7"/>
      <x:c r="B213" s="11"/>
      <x:c r="C213" s="7"/>
      <x:c r="D213" s="7"/>
      <x:c r="E213" s="7"/>
      <x:c r="F213" s="13"/>
      <x:c r="G213" s="13"/>
      <x:c r="H213" s="13"/>
      <x:c r="I213" s="7"/>
      <x:c r="J213" s="7"/>
      <x:c r="K213" s="9" t="str">
        <x:f>IF($B213="","",TEXT($B213,"yyyy-mm"))</x:f>
      </x:c>
      <x:c r="L213" s="9" t="str">
        <x:f>IF($E213="","",IFERROR(INDEX('계정과목'!$B$6:$B$56,MATCH($E213,'계정과목'!$A$6:$A$56,0)),"미등록"))</x:f>
      </x:c>
      <x:c r="M213" s="9" t="str">
        <x:f>IF($E213="","",IFERROR(INDEX('계정과목'!$C$6:$C$56,MATCH($E213,'계정과목'!$A$6:$A$56,0)),""))</x:f>
      </x:c>
      <x:c r="N213" s="9" t="str">
        <x:f>IF($E213="","",IFERROR(INDEX('계정과목'!$D$6:$D$56,MATCH($E213,'계정과목'!$A$6:$A$56,0)),""))</x:f>
      </x:c>
      <x:c r="O213" s="9" t="str">
        <x:f>IF($E213="","",IF(COUNTIF('계정과목'!$A$6:$A$56,$E213)=0,"미등록","정상"))</x:f>
      </x:c>
      <x:c r="P213" s="14" t="str">
        <x:f>IF($A213="","",ROUND(SUMIFS('전표'!$F$7:$F$306,'전표'!$A$7:$A$306,$A213)-SUMIFS('전표'!$G$7:$G$306,'전표'!$A$7:$A$306,$A213),0))</x:f>
      </x:c>
      <x:c r="Q213" s="14" t="n">
        <x:f>IF(ISNUMBER($P213),IF(ABS($P213)&gt;=1,1,0),0)</x:f>
        <x:v>0</x:v>
      </x:c>
    </x:row>
    <x:row r="214">
      <x:c r="A214" s="7"/>
      <x:c r="B214" s="11"/>
      <x:c r="C214" s="7"/>
      <x:c r="D214" s="7"/>
      <x:c r="E214" s="7"/>
      <x:c r="F214" s="13"/>
      <x:c r="G214" s="13"/>
      <x:c r="H214" s="13"/>
      <x:c r="I214" s="7"/>
      <x:c r="J214" s="7"/>
      <x:c r="K214" s="9" t="str">
        <x:f>IF($B214="","",TEXT($B214,"yyyy-mm"))</x:f>
      </x:c>
      <x:c r="L214" s="9" t="str">
        <x:f>IF($E214="","",IFERROR(INDEX('계정과목'!$B$6:$B$56,MATCH($E214,'계정과목'!$A$6:$A$56,0)),"미등록"))</x:f>
      </x:c>
      <x:c r="M214" s="9" t="str">
        <x:f>IF($E214="","",IFERROR(INDEX('계정과목'!$C$6:$C$56,MATCH($E214,'계정과목'!$A$6:$A$56,0)),""))</x:f>
      </x:c>
      <x:c r="N214" s="9" t="str">
        <x:f>IF($E214="","",IFERROR(INDEX('계정과목'!$D$6:$D$56,MATCH($E214,'계정과목'!$A$6:$A$56,0)),""))</x:f>
      </x:c>
      <x:c r="O214" s="9" t="str">
        <x:f>IF($E214="","",IF(COUNTIF('계정과목'!$A$6:$A$56,$E214)=0,"미등록","정상"))</x:f>
      </x:c>
      <x:c r="P214" s="14" t="str">
        <x:f>IF($A214="","",ROUND(SUMIFS('전표'!$F$7:$F$306,'전표'!$A$7:$A$306,$A214)-SUMIFS('전표'!$G$7:$G$306,'전표'!$A$7:$A$306,$A214),0))</x:f>
      </x:c>
      <x:c r="Q214" s="14" t="n">
        <x:f>IF(ISNUMBER($P214),IF(ABS($P214)&gt;=1,1,0),0)</x:f>
        <x:v>0</x:v>
      </x:c>
    </x:row>
    <x:row r="215">
      <x:c r="A215" s="7"/>
      <x:c r="B215" s="11"/>
      <x:c r="C215" s="7"/>
      <x:c r="D215" s="7"/>
      <x:c r="E215" s="7"/>
      <x:c r="F215" s="13"/>
      <x:c r="G215" s="13"/>
      <x:c r="H215" s="13"/>
      <x:c r="I215" s="7"/>
      <x:c r="J215" s="7"/>
      <x:c r="K215" s="9" t="str">
        <x:f>IF($B215="","",TEXT($B215,"yyyy-mm"))</x:f>
      </x:c>
      <x:c r="L215" s="9" t="str">
        <x:f>IF($E215="","",IFERROR(INDEX('계정과목'!$B$6:$B$56,MATCH($E215,'계정과목'!$A$6:$A$56,0)),"미등록"))</x:f>
      </x:c>
      <x:c r="M215" s="9" t="str">
        <x:f>IF($E215="","",IFERROR(INDEX('계정과목'!$C$6:$C$56,MATCH($E215,'계정과목'!$A$6:$A$56,0)),""))</x:f>
      </x:c>
      <x:c r="N215" s="9" t="str">
        <x:f>IF($E215="","",IFERROR(INDEX('계정과목'!$D$6:$D$56,MATCH($E215,'계정과목'!$A$6:$A$56,0)),""))</x:f>
      </x:c>
      <x:c r="O215" s="9" t="str">
        <x:f>IF($E215="","",IF(COUNTIF('계정과목'!$A$6:$A$56,$E215)=0,"미등록","정상"))</x:f>
      </x:c>
      <x:c r="P215" s="14" t="str">
        <x:f>IF($A215="","",ROUND(SUMIFS('전표'!$F$7:$F$306,'전표'!$A$7:$A$306,$A215)-SUMIFS('전표'!$G$7:$G$306,'전표'!$A$7:$A$306,$A215),0))</x:f>
      </x:c>
      <x:c r="Q215" s="14" t="n">
        <x:f>IF(ISNUMBER($P215),IF(ABS($P215)&gt;=1,1,0),0)</x:f>
        <x:v>0</x:v>
      </x:c>
    </x:row>
    <x:row r="216">
      <x:c r="A216" s="7"/>
      <x:c r="B216" s="11"/>
      <x:c r="C216" s="7"/>
      <x:c r="D216" s="7"/>
      <x:c r="E216" s="7"/>
      <x:c r="F216" s="13"/>
      <x:c r="G216" s="13"/>
      <x:c r="H216" s="13"/>
      <x:c r="I216" s="7"/>
      <x:c r="J216" s="7"/>
      <x:c r="K216" s="9" t="str">
        <x:f>IF($B216="","",TEXT($B216,"yyyy-mm"))</x:f>
      </x:c>
      <x:c r="L216" s="9" t="str">
        <x:f>IF($E216="","",IFERROR(INDEX('계정과목'!$B$6:$B$56,MATCH($E216,'계정과목'!$A$6:$A$56,0)),"미등록"))</x:f>
      </x:c>
      <x:c r="M216" s="9" t="str">
        <x:f>IF($E216="","",IFERROR(INDEX('계정과목'!$C$6:$C$56,MATCH($E216,'계정과목'!$A$6:$A$56,0)),""))</x:f>
      </x:c>
      <x:c r="N216" s="9" t="str">
        <x:f>IF($E216="","",IFERROR(INDEX('계정과목'!$D$6:$D$56,MATCH($E216,'계정과목'!$A$6:$A$56,0)),""))</x:f>
      </x:c>
      <x:c r="O216" s="9" t="str">
        <x:f>IF($E216="","",IF(COUNTIF('계정과목'!$A$6:$A$56,$E216)=0,"미등록","정상"))</x:f>
      </x:c>
      <x:c r="P216" s="14" t="str">
        <x:f>IF($A216="","",ROUND(SUMIFS('전표'!$F$7:$F$306,'전표'!$A$7:$A$306,$A216)-SUMIFS('전표'!$G$7:$G$306,'전표'!$A$7:$A$306,$A216),0))</x:f>
      </x:c>
      <x:c r="Q216" s="14" t="n">
        <x:f>IF(ISNUMBER($P216),IF(ABS($P216)&gt;=1,1,0),0)</x:f>
        <x:v>0</x:v>
      </x:c>
    </x:row>
    <x:row r="217">
      <x:c r="A217" s="7"/>
      <x:c r="B217" s="11"/>
      <x:c r="C217" s="7"/>
      <x:c r="D217" s="7"/>
      <x:c r="E217" s="7"/>
      <x:c r="F217" s="13"/>
      <x:c r="G217" s="13"/>
      <x:c r="H217" s="13"/>
      <x:c r="I217" s="7"/>
      <x:c r="J217" s="7"/>
      <x:c r="K217" s="9" t="str">
        <x:f>IF($B217="","",TEXT($B217,"yyyy-mm"))</x:f>
      </x:c>
      <x:c r="L217" s="9" t="str">
        <x:f>IF($E217="","",IFERROR(INDEX('계정과목'!$B$6:$B$56,MATCH($E217,'계정과목'!$A$6:$A$56,0)),"미등록"))</x:f>
      </x:c>
      <x:c r="M217" s="9" t="str">
        <x:f>IF($E217="","",IFERROR(INDEX('계정과목'!$C$6:$C$56,MATCH($E217,'계정과목'!$A$6:$A$56,0)),""))</x:f>
      </x:c>
      <x:c r="N217" s="9" t="str">
        <x:f>IF($E217="","",IFERROR(INDEX('계정과목'!$D$6:$D$56,MATCH($E217,'계정과목'!$A$6:$A$56,0)),""))</x:f>
      </x:c>
      <x:c r="O217" s="9" t="str">
        <x:f>IF($E217="","",IF(COUNTIF('계정과목'!$A$6:$A$56,$E217)=0,"미등록","정상"))</x:f>
      </x:c>
      <x:c r="P217" s="14" t="str">
        <x:f>IF($A217="","",ROUND(SUMIFS('전표'!$F$7:$F$306,'전표'!$A$7:$A$306,$A217)-SUMIFS('전표'!$G$7:$G$306,'전표'!$A$7:$A$306,$A217),0))</x:f>
      </x:c>
      <x:c r="Q217" s="14" t="n">
        <x:f>IF(ISNUMBER($P217),IF(ABS($P217)&gt;=1,1,0),0)</x:f>
        <x:v>0</x:v>
      </x:c>
    </x:row>
    <x:row r="218">
      <x:c r="A218" s="7"/>
      <x:c r="B218" s="11"/>
      <x:c r="C218" s="7"/>
      <x:c r="D218" s="7"/>
      <x:c r="E218" s="7"/>
      <x:c r="F218" s="13"/>
      <x:c r="G218" s="13"/>
      <x:c r="H218" s="13"/>
      <x:c r="I218" s="7"/>
      <x:c r="J218" s="7"/>
      <x:c r="K218" s="9" t="str">
        <x:f>IF($B218="","",TEXT($B218,"yyyy-mm"))</x:f>
      </x:c>
      <x:c r="L218" s="9" t="str">
        <x:f>IF($E218="","",IFERROR(INDEX('계정과목'!$B$6:$B$56,MATCH($E218,'계정과목'!$A$6:$A$56,0)),"미등록"))</x:f>
      </x:c>
      <x:c r="M218" s="9" t="str">
        <x:f>IF($E218="","",IFERROR(INDEX('계정과목'!$C$6:$C$56,MATCH($E218,'계정과목'!$A$6:$A$56,0)),""))</x:f>
      </x:c>
      <x:c r="N218" s="9" t="str">
        <x:f>IF($E218="","",IFERROR(INDEX('계정과목'!$D$6:$D$56,MATCH($E218,'계정과목'!$A$6:$A$56,0)),""))</x:f>
      </x:c>
      <x:c r="O218" s="9" t="str">
        <x:f>IF($E218="","",IF(COUNTIF('계정과목'!$A$6:$A$56,$E218)=0,"미등록","정상"))</x:f>
      </x:c>
      <x:c r="P218" s="14" t="str">
        <x:f>IF($A218="","",ROUND(SUMIFS('전표'!$F$7:$F$306,'전표'!$A$7:$A$306,$A218)-SUMIFS('전표'!$G$7:$G$306,'전표'!$A$7:$A$306,$A218),0))</x:f>
      </x:c>
      <x:c r="Q218" s="14" t="n">
        <x:f>IF(ISNUMBER($P218),IF(ABS($P218)&gt;=1,1,0),0)</x:f>
        <x:v>0</x:v>
      </x:c>
    </x:row>
    <x:row r="219">
      <x:c r="A219" s="7"/>
      <x:c r="B219" s="11"/>
      <x:c r="C219" s="7"/>
      <x:c r="D219" s="7"/>
      <x:c r="E219" s="7"/>
      <x:c r="F219" s="13"/>
      <x:c r="G219" s="13"/>
      <x:c r="H219" s="13"/>
      <x:c r="I219" s="7"/>
      <x:c r="J219" s="7"/>
      <x:c r="K219" s="9" t="str">
        <x:f>IF($B219="","",TEXT($B219,"yyyy-mm"))</x:f>
      </x:c>
      <x:c r="L219" s="9" t="str">
        <x:f>IF($E219="","",IFERROR(INDEX('계정과목'!$B$6:$B$56,MATCH($E219,'계정과목'!$A$6:$A$56,0)),"미등록"))</x:f>
      </x:c>
      <x:c r="M219" s="9" t="str">
        <x:f>IF($E219="","",IFERROR(INDEX('계정과목'!$C$6:$C$56,MATCH($E219,'계정과목'!$A$6:$A$56,0)),""))</x:f>
      </x:c>
      <x:c r="N219" s="9" t="str">
        <x:f>IF($E219="","",IFERROR(INDEX('계정과목'!$D$6:$D$56,MATCH($E219,'계정과목'!$A$6:$A$56,0)),""))</x:f>
      </x:c>
      <x:c r="O219" s="9" t="str">
        <x:f>IF($E219="","",IF(COUNTIF('계정과목'!$A$6:$A$56,$E219)=0,"미등록","정상"))</x:f>
      </x:c>
      <x:c r="P219" s="14" t="str">
        <x:f>IF($A219="","",ROUND(SUMIFS('전표'!$F$7:$F$306,'전표'!$A$7:$A$306,$A219)-SUMIFS('전표'!$G$7:$G$306,'전표'!$A$7:$A$306,$A219),0))</x:f>
      </x:c>
      <x:c r="Q219" s="14" t="n">
        <x:f>IF(ISNUMBER($P219),IF(ABS($P219)&gt;=1,1,0),0)</x:f>
        <x:v>0</x:v>
      </x:c>
    </x:row>
    <x:row r="220">
      <x:c r="A220" s="7"/>
      <x:c r="B220" s="11"/>
      <x:c r="C220" s="7"/>
      <x:c r="D220" s="7"/>
      <x:c r="E220" s="7"/>
      <x:c r="F220" s="13"/>
      <x:c r="G220" s="13"/>
      <x:c r="H220" s="13"/>
      <x:c r="I220" s="7"/>
      <x:c r="J220" s="7"/>
      <x:c r="K220" s="9" t="str">
        <x:f>IF($B220="","",TEXT($B220,"yyyy-mm"))</x:f>
      </x:c>
      <x:c r="L220" s="9" t="str">
        <x:f>IF($E220="","",IFERROR(INDEX('계정과목'!$B$6:$B$56,MATCH($E220,'계정과목'!$A$6:$A$56,0)),"미등록"))</x:f>
      </x:c>
      <x:c r="M220" s="9" t="str">
        <x:f>IF($E220="","",IFERROR(INDEX('계정과목'!$C$6:$C$56,MATCH($E220,'계정과목'!$A$6:$A$56,0)),""))</x:f>
      </x:c>
      <x:c r="N220" s="9" t="str">
        <x:f>IF($E220="","",IFERROR(INDEX('계정과목'!$D$6:$D$56,MATCH($E220,'계정과목'!$A$6:$A$56,0)),""))</x:f>
      </x:c>
      <x:c r="O220" s="9" t="str">
        <x:f>IF($E220="","",IF(COUNTIF('계정과목'!$A$6:$A$56,$E220)=0,"미등록","정상"))</x:f>
      </x:c>
      <x:c r="P220" s="14" t="str">
        <x:f>IF($A220="","",ROUND(SUMIFS('전표'!$F$7:$F$306,'전표'!$A$7:$A$306,$A220)-SUMIFS('전표'!$G$7:$G$306,'전표'!$A$7:$A$306,$A220),0))</x:f>
      </x:c>
      <x:c r="Q220" s="14" t="n">
        <x:f>IF(ISNUMBER($P220),IF(ABS($P220)&gt;=1,1,0),0)</x:f>
        <x:v>0</x:v>
      </x:c>
    </x:row>
    <x:row r="221">
      <x:c r="A221" s="7"/>
      <x:c r="B221" s="11"/>
      <x:c r="C221" s="7"/>
      <x:c r="D221" s="7"/>
      <x:c r="E221" s="7"/>
      <x:c r="F221" s="13"/>
      <x:c r="G221" s="13"/>
      <x:c r="H221" s="13"/>
      <x:c r="I221" s="7"/>
      <x:c r="J221" s="7"/>
      <x:c r="K221" s="9" t="str">
        <x:f>IF($B221="","",TEXT($B221,"yyyy-mm"))</x:f>
      </x:c>
      <x:c r="L221" s="9" t="str">
        <x:f>IF($E221="","",IFERROR(INDEX('계정과목'!$B$6:$B$56,MATCH($E221,'계정과목'!$A$6:$A$56,0)),"미등록"))</x:f>
      </x:c>
      <x:c r="M221" s="9" t="str">
        <x:f>IF($E221="","",IFERROR(INDEX('계정과목'!$C$6:$C$56,MATCH($E221,'계정과목'!$A$6:$A$56,0)),""))</x:f>
      </x:c>
      <x:c r="N221" s="9" t="str">
        <x:f>IF($E221="","",IFERROR(INDEX('계정과목'!$D$6:$D$56,MATCH($E221,'계정과목'!$A$6:$A$56,0)),""))</x:f>
      </x:c>
      <x:c r="O221" s="9" t="str">
        <x:f>IF($E221="","",IF(COUNTIF('계정과목'!$A$6:$A$56,$E221)=0,"미등록","정상"))</x:f>
      </x:c>
      <x:c r="P221" s="14" t="str">
        <x:f>IF($A221="","",ROUND(SUMIFS('전표'!$F$7:$F$306,'전표'!$A$7:$A$306,$A221)-SUMIFS('전표'!$G$7:$G$306,'전표'!$A$7:$A$306,$A221),0))</x:f>
      </x:c>
      <x:c r="Q221" s="14" t="n">
        <x:f>IF(ISNUMBER($P221),IF(ABS($P221)&gt;=1,1,0),0)</x:f>
        <x:v>0</x:v>
      </x:c>
    </x:row>
    <x:row r="222">
      <x:c r="A222" s="7"/>
      <x:c r="B222" s="11"/>
      <x:c r="C222" s="7"/>
      <x:c r="D222" s="7"/>
      <x:c r="E222" s="7"/>
      <x:c r="F222" s="13"/>
      <x:c r="G222" s="13"/>
      <x:c r="H222" s="13"/>
      <x:c r="I222" s="7"/>
      <x:c r="J222" s="7"/>
      <x:c r="K222" s="9" t="str">
        <x:f>IF($B222="","",TEXT($B222,"yyyy-mm"))</x:f>
      </x:c>
      <x:c r="L222" s="9" t="str">
        <x:f>IF($E222="","",IFERROR(INDEX('계정과목'!$B$6:$B$56,MATCH($E222,'계정과목'!$A$6:$A$56,0)),"미등록"))</x:f>
      </x:c>
      <x:c r="M222" s="9" t="str">
        <x:f>IF($E222="","",IFERROR(INDEX('계정과목'!$C$6:$C$56,MATCH($E222,'계정과목'!$A$6:$A$56,0)),""))</x:f>
      </x:c>
      <x:c r="N222" s="9" t="str">
        <x:f>IF($E222="","",IFERROR(INDEX('계정과목'!$D$6:$D$56,MATCH($E222,'계정과목'!$A$6:$A$56,0)),""))</x:f>
      </x:c>
      <x:c r="O222" s="9" t="str">
        <x:f>IF($E222="","",IF(COUNTIF('계정과목'!$A$6:$A$56,$E222)=0,"미등록","정상"))</x:f>
      </x:c>
      <x:c r="P222" s="14" t="str">
        <x:f>IF($A222="","",ROUND(SUMIFS('전표'!$F$7:$F$306,'전표'!$A$7:$A$306,$A222)-SUMIFS('전표'!$G$7:$G$306,'전표'!$A$7:$A$306,$A222),0))</x:f>
      </x:c>
      <x:c r="Q222" s="14" t="n">
        <x:f>IF(ISNUMBER($P222),IF(ABS($P222)&gt;=1,1,0),0)</x:f>
        <x:v>0</x:v>
      </x:c>
    </x:row>
    <x:row r="223">
      <x:c r="A223" s="7"/>
      <x:c r="B223" s="11"/>
      <x:c r="C223" s="7"/>
      <x:c r="D223" s="7"/>
      <x:c r="E223" s="7"/>
      <x:c r="F223" s="13"/>
      <x:c r="G223" s="13"/>
      <x:c r="H223" s="13"/>
      <x:c r="I223" s="7"/>
      <x:c r="J223" s="7"/>
      <x:c r="K223" s="9" t="str">
        <x:f>IF($B223="","",TEXT($B223,"yyyy-mm"))</x:f>
      </x:c>
      <x:c r="L223" s="9" t="str">
        <x:f>IF($E223="","",IFERROR(INDEX('계정과목'!$B$6:$B$56,MATCH($E223,'계정과목'!$A$6:$A$56,0)),"미등록"))</x:f>
      </x:c>
      <x:c r="M223" s="9" t="str">
        <x:f>IF($E223="","",IFERROR(INDEX('계정과목'!$C$6:$C$56,MATCH($E223,'계정과목'!$A$6:$A$56,0)),""))</x:f>
      </x:c>
      <x:c r="N223" s="9" t="str">
        <x:f>IF($E223="","",IFERROR(INDEX('계정과목'!$D$6:$D$56,MATCH($E223,'계정과목'!$A$6:$A$56,0)),""))</x:f>
      </x:c>
      <x:c r="O223" s="9" t="str">
        <x:f>IF($E223="","",IF(COUNTIF('계정과목'!$A$6:$A$56,$E223)=0,"미등록","정상"))</x:f>
      </x:c>
      <x:c r="P223" s="14" t="str">
        <x:f>IF($A223="","",ROUND(SUMIFS('전표'!$F$7:$F$306,'전표'!$A$7:$A$306,$A223)-SUMIFS('전표'!$G$7:$G$306,'전표'!$A$7:$A$306,$A223),0))</x:f>
      </x:c>
      <x:c r="Q223" s="14" t="n">
        <x:f>IF(ISNUMBER($P223),IF(ABS($P223)&gt;=1,1,0),0)</x:f>
        <x:v>0</x:v>
      </x:c>
    </x:row>
    <x:row r="224">
      <x:c r="A224" s="7"/>
      <x:c r="B224" s="11"/>
      <x:c r="C224" s="7"/>
      <x:c r="D224" s="7"/>
      <x:c r="E224" s="7"/>
      <x:c r="F224" s="13"/>
      <x:c r="G224" s="13"/>
      <x:c r="H224" s="13"/>
      <x:c r="I224" s="7"/>
      <x:c r="J224" s="7"/>
      <x:c r="K224" s="9" t="str">
        <x:f>IF($B224="","",TEXT($B224,"yyyy-mm"))</x:f>
      </x:c>
      <x:c r="L224" s="9" t="str">
        <x:f>IF($E224="","",IFERROR(INDEX('계정과목'!$B$6:$B$56,MATCH($E224,'계정과목'!$A$6:$A$56,0)),"미등록"))</x:f>
      </x:c>
      <x:c r="M224" s="9" t="str">
        <x:f>IF($E224="","",IFERROR(INDEX('계정과목'!$C$6:$C$56,MATCH($E224,'계정과목'!$A$6:$A$56,0)),""))</x:f>
      </x:c>
      <x:c r="N224" s="9" t="str">
        <x:f>IF($E224="","",IFERROR(INDEX('계정과목'!$D$6:$D$56,MATCH($E224,'계정과목'!$A$6:$A$56,0)),""))</x:f>
      </x:c>
      <x:c r="O224" s="9" t="str">
        <x:f>IF($E224="","",IF(COUNTIF('계정과목'!$A$6:$A$56,$E224)=0,"미등록","정상"))</x:f>
      </x:c>
      <x:c r="P224" s="14" t="str">
        <x:f>IF($A224="","",ROUND(SUMIFS('전표'!$F$7:$F$306,'전표'!$A$7:$A$306,$A224)-SUMIFS('전표'!$G$7:$G$306,'전표'!$A$7:$A$306,$A224),0))</x:f>
      </x:c>
      <x:c r="Q224" s="14" t="n">
        <x:f>IF(ISNUMBER($P224),IF(ABS($P224)&gt;=1,1,0),0)</x:f>
        <x:v>0</x:v>
      </x:c>
    </x:row>
    <x:row r="225">
      <x:c r="A225" s="7"/>
      <x:c r="B225" s="11"/>
      <x:c r="C225" s="7"/>
      <x:c r="D225" s="7"/>
      <x:c r="E225" s="7"/>
      <x:c r="F225" s="13"/>
      <x:c r="G225" s="13"/>
      <x:c r="H225" s="13"/>
      <x:c r="I225" s="7"/>
      <x:c r="J225" s="7"/>
      <x:c r="K225" s="9" t="str">
        <x:f>IF($B225="","",TEXT($B225,"yyyy-mm"))</x:f>
      </x:c>
      <x:c r="L225" s="9" t="str">
        <x:f>IF($E225="","",IFERROR(INDEX('계정과목'!$B$6:$B$56,MATCH($E225,'계정과목'!$A$6:$A$56,0)),"미등록"))</x:f>
      </x:c>
      <x:c r="M225" s="9" t="str">
        <x:f>IF($E225="","",IFERROR(INDEX('계정과목'!$C$6:$C$56,MATCH($E225,'계정과목'!$A$6:$A$56,0)),""))</x:f>
      </x:c>
      <x:c r="N225" s="9" t="str">
        <x:f>IF($E225="","",IFERROR(INDEX('계정과목'!$D$6:$D$56,MATCH($E225,'계정과목'!$A$6:$A$56,0)),""))</x:f>
      </x:c>
      <x:c r="O225" s="9" t="str">
        <x:f>IF($E225="","",IF(COUNTIF('계정과목'!$A$6:$A$56,$E225)=0,"미등록","정상"))</x:f>
      </x:c>
      <x:c r="P225" s="14" t="str">
        <x:f>IF($A225="","",ROUND(SUMIFS('전표'!$F$7:$F$306,'전표'!$A$7:$A$306,$A225)-SUMIFS('전표'!$G$7:$G$306,'전표'!$A$7:$A$306,$A225),0))</x:f>
      </x:c>
      <x:c r="Q225" s="14" t="n">
        <x:f>IF(ISNUMBER($P225),IF(ABS($P225)&gt;=1,1,0),0)</x:f>
        <x:v>0</x:v>
      </x:c>
    </x:row>
    <x:row r="226">
      <x:c r="A226" s="7"/>
      <x:c r="B226" s="11"/>
      <x:c r="C226" s="7"/>
      <x:c r="D226" s="7"/>
      <x:c r="E226" s="7"/>
      <x:c r="F226" s="13"/>
      <x:c r="G226" s="13"/>
      <x:c r="H226" s="13"/>
      <x:c r="I226" s="7"/>
      <x:c r="J226" s="7"/>
      <x:c r="K226" s="9" t="str">
        <x:f>IF($B226="","",TEXT($B226,"yyyy-mm"))</x:f>
      </x:c>
      <x:c r="L226" s="9" t="str">
        <x:f>IF($E226="","",IFERROR(INDEX('계정과목'!$B$6:$B$56,MATCH($E226,'계정과목'!$A$6:$A$56,0)),"미등록"))</x:f>
      </x:c>
      <x:c r="M226" s="9" t="str">
        <x:f>IF($E226="","",IFERROR(INDEX('계정과목'!$C$6:$C$56,MATCH($E226,'계정과목'!$A$6:$A$56,0)),""))</x:f>
      </x:c>
      <x:c r="N226" s="9" t="str">
        <x:f>IF($E226="","",IFERROR(INDEX('계정과목'!$D$6:$D$56,MATCH($E226,'계정과목'!$A$6:$A$56,0)),""))</x:f>
      </x:c>
      <x:c r="O226" s="9" t="str">
        <x:f>IF($E226="","",IF(COUNTIF('계정과목'!$A$6:$A$56,$E226)=0,"미등록","정상"))</x:f>
      </x:c>
      <x:c r="P226" s="14" t="str">
        <x:f>IF($A226="","",ROUND(SUMIFS('전표'!$F$7:$F$306,'전표'!$A$7:$A$306,$A226)-SUMIFS('전표'!$G$7:$G$306,'전표'!$A$7:$A$306,$A226),0))</x:f>
      </x:c>
      <x:c r="Q226" s="14" t="n">
        <x:f>IF(ISNUMBER($P226),IF(ABS($P226)&gt;=1,1,0),0)</x:f>
        <x:v>0</x:v>
      </x:c>
    </x:row>
    <x:row r="227">
      <x:c r="A227" s="7"/>
      <x:c r="B227" s="11"/>
      <x:c r="C227" s="7"/>
      <x:c r="D227" s="7"/>
      <x:c r="E227" s="7"/>
      <x:c r="F227" s="13"/>
      <x:c r="G227" s="13"/>
      <x:c r="H227" s="13"/>
      <x:c r="I227" s="7"/>
      <x:c r="J227" s="7"/>
      <x:c r="K227" s="9" t="str">
        <x:f>IF($B227="","",TEXT($B227,"yyyy-mm"))</x:f>
      </x:c>
      <x:c r="L227" s="9" t="str">
        <x:f>IF($E227="","",IFERROR(INDEX('계정과목'!$B$6:$B$56,MATCH($E227,'계정과목'!$A$6:$A$56,0)),"미등록"))</x:f>
      </x:c>
      <x:c r="M227" s="9" t="str">
        <x:f>IF($E227="","",IFERROR(INDEX('계정과목'!$C$6:$C$56,MATCH($E227,'계정과목'!$A$6:$A$56,0)),""))</x:f>
      </x:c>
      <x:c r="N227" s="9" t="str">
        <x:f>IF($E227="","",IFERROR(INDEX('계정과목'!$D$6:$D$56,MATCH($E227,'계정과목'!$A$6:$A$56,0)),""))</x:f>
      </x:c>
      <x:c r="O227" s="9" t="str">
        <x:f>IF($E227="","",IF(COUNTIF('계정과목'!$A$6:$A$56,$E227)=0,"미등록","정상"))</x:f>
      </x:c>
      <x:c r="P227" s="14" t="str">
        <x:f>IF($A227="","",ROUND(SUMIFS('전표'!$F$7:$F$306,'전표'!$A$7:$A$306,$A227)-SUMIFS('전표'!$G$7:$G$306,'전표'!$A$7:$A$306,$A227),0))</x:f>
      </x:c>
      <x:c r="Q227" s="14" t="n">
        <x:f>IF(ISNUMBER($P227),IF(ABS($P227)&gt;=1,1,0),0)</x:f>
        <x:v>0</x:v>
      </x:c>
    </x:row>
    <x:row r="228">
      <x:c r="A228" s="7"/>
      <x:c r="B228" s="11"/>
      <x:c r="C228" s="7"/>
      <x:c r="D228" s="7"/>
      <x:c r="E228" s="7"/>
      <x:c r="F228" s="13"/>
      <x:c r="G228" s="13"/>
      <x:c r="H228" s="13"/>
      <x:c r="I228" s="7"/>
      <x:c r="J228" s="7"/>
      <x:c r="K228" s="9" t="str">
        <x:f>IF($B228="","",TEXT($B228,"yyyy-mm"))</x:f>
      </x:c>
      <x:c r="L228" s="9" t="str">
        <x:f>IF($E228="","",IFERROR(INDEX('계정과목'!$B$6:$B$56,MATCH($E228,'계정과목'!$A$6:$A$56,0)),"미등록"))</x:f>
      </x:c>
      <x:c r="M228" s="9" t="str">
        <x:f>IF($E228="","",IFERROR(INDEX('계정과목'!$C$6:$C$56,MATCH($E228,'계정과목'!$A$6:$A$56,0)),""))</x:f>
      </x:c>
      <x:c r="N228" s="9" t="str">
        <x:f>IF($E228="","",IFERROR(INDEX('계정과목'!$D$6:$D$56,MATCH($E228,'계정과목'!$A$6:$A$56,0)),""))</x:f>
      </x:c>
      <x:c r="O228" s="9" t="str">
        <x:f>IF($E228="","",IF(COUNTIF('계정과목'!$A$6:$A$56,$E228)=0,"미등록","정상"))</x:f>
      </x:c>
      <x:c r="P228" s="14" t="str">
        <x:f>IF($A228="","",ROUND(SUMIFS('전표'!$F$7:$F$306,'전표'!$A$7:$A$306,$A228)-SUMIFS('전표'!$G$7:$G$306,'전표'!$A$7:$A$306,$A228),0))</x:f>
      </x:c>
      <x:c r="Q228" s="14" t="n">
        <x:f>IF(ISNUMBER($P228),IF(ABS($P228)&gt;=1,1,0),0)</x:f>
        <x:v>0</x:v>
      </x:c>
    </x:row>
    <x:row r="229">
      <x:c r="A229" s="7"/>
      <x:c r="B229" s="11"/>
      <x:c r="C229" s="7"/>
      <x:c r="D229" s="7"/>
      <x:c r="E229" s="7"/>
      <x:c r="F229" s="13"/>
      <x:c r="G229" s="13"/>
      <x:c r="H229" s="13"/>
      <x:c r="I229" s="7"/>
      <x:c r="J229" s="7"/>
      <x:c r="K229" s="9" t="str">
        <x:f>IF($B229="","",TEXT($B229,"yyyy-mm"))</x:f>
      </x:c>
      <x:c r="L229" s="9" t="str">
        <x:f>IF($E229="","",IFERROR(INDEX('계정과목'!$B$6:$B$56,MATCH($E229,'계정과목'!$A$6:$A$56,0)),"미등록"))</x:f>
      </x:c>
      <x:c r="M229" s="9" t="str">
        <x:f>IF($E229="","",IFERROR(INDEX('계정과목'!$C$6:$C$56,MATCH($E229,'계정과목'!$A$6:$A$56,0)),""))</x:f>
      </x:c>
      <x:c r="N229" s="9" t="str">
        <x:f>IF($E229="","",IFERROR(INDEX('계정과목'!$D$6:$D$56,MATCH($E229,'계정과목'!$A$6:$A$56,0)),""))</x:f>
      </x:c>
      <x:c r="O229" s="9" t="str">
        <x:f>IF($E229="","",IF(COUNTIF('계정과목'!$A$6:$A$56,$E229)=0,"미등록","정상"))</x:f>
      </x:c>
      <x:c r="P229" s="14" t="str">
        <x:f>IF($A229="","",ROUND(SUMIFS('전표'!$F$7:$F$306,'전표'!$A$7:$A$306,$A229)-SUMIFS('전표'!$G$7:$G$306,'전표'!$A$7:$A$306,$A229),0))</x:f>
      </x:c>
      <x:c r="Q229" s="14" t="n">
        <x:f>IF(ISNUMBER($P229),IF(ABS($P229)&gt;=1,1,0),0)</x:f>
        <x:v>0</x:v>
      </x:c>
    </x:row>
    <x:row r="230">
      <x:c r="A230" s="7"/>
      <x:c r="B230" s="11"/>
      <x:c r="C230" s="7"/>
      <x:c r="D230" s="7"/>
      <x:c r="E230" s="7"/>
      <x:c r="F230" s="13"/>
      <x:c r="G230" s="13"/>
      <x:c r="H230" s="13"/>
      <x:c r="I230" s="7"/>
      <x:c r="J230" s="7"/>
      <x:c r="K230" s="9" t="str">
        <x:f>IF($B230="","",TEXT($B230,"yyyy-mm"))</x:f>
      </x:c>
      <x:c r="L230" s="9" t="str">
        <x:f>IF($E230="","",IFERROR(INDEX('계정과목'!$B$6:$B$56,MATCH($E230,'계정과목'!$A$6:$A$56,0)),"미등록"))</x:f>
      </x:c>
      <x:c r="M230" s="9" t="str">
        <x:f>IF($E230="","",IFERROR(INDEX('계정과목'!$C$6:$C$56,MATCH($E230,'계정과목'!$A$6:$A$56,0)),""))</x:f>
      </x:c>
      <x:c r="N230" s="9" t="str">
        <x:f>IF($E230="","",IFERROR(INDEX('계정과목'!$D$6:$D$56,MATCH($E230,'계정과목'!$A$6:$A$56,0)),""))</x:f>
      </x:c>
      <x:c r="O230" s="9" t="str">
        <x:f>IF($E230="","",IF(COUNTIF('계정과목'!$A$6:$A$56,$E230)=0,"미등록","정상"))</x:f>
      </x:c>
      <x:c r="P230" s="14" t="str">
        <x:f>IF($A230="","",ROUND(SUMIFS('전표'!$F$7:$F$306,'전표'!$A$7:$A$306,$A230)-SUMIFS('전표'!$G$7:$G$306,'전표'!$A$7:$A$306,$A230),0))</x:f>
      </x:c>
      <x:c r="Q230" s="14" t="n">
        <x:f>IF(ISNUMBER($P230),IF(ABS($P230)&gt;=1,1,0),0)</x:f>
        <x:v>0</x:v>
      </x:c>
    </x:row>
    <x:row r="231">
      <x:c r="A231" s="7"/>
      <x:c r="B231" s="11"/>
      <x:c r="C231" s="7"/>
      <x:c r="D231" s="7"/>
      <x:c r="E231" s="7"/>
      <x:c r="F231" s="13"/>
      <x:c r="G231" s="13"/>
      <x:c r="H231" s="13"/>
      <x:c r="I231" s="7"/>
      <x:c r="J231" s="7"/>
      <x:c r="K231" s="9" t="str">
        <x:f>IF($B231="","",TEXT($B231,"yyyy-mm"))</x:f>
      </x:c>
      <x:c r="L231" s="9" t="str">
        <x:f>IF($E231="","",IFERROR(INDEX('계정과목'!$B$6:$B$56,MATCH($E231,'계정과목'!$A$6:$A$56,0)),"미등록"))</x:f>
      </x:c>
      <x:c r="M231" s="9" t="str">
        <x:f>IF($E231="","",IFERROR(INDEX('계정과목'!$C$6:$C$56,MATCH($E231,'계정과목'!$A$6:$A$56,0)),""))</x:f>
      </x:c>
      <x:c r="N231" s="9" t="str">
        <x:f>IF($E231="","",IFERROR(INDEX('계정과목'!$D$6:$D$56,MATCH($E231,'계정과목'!$A$6:$A$56,0)),""))</x:f>
      </x:c>
      <x:c r="O231" s="9" t="str">
        <x:f>IF($E231="","",IF(COUNTIF('계정과목'!$A$6:$A$56,$E231)=0,"미등록","정상"))</x:f>
      </x:c>
      <x:c r="P231" s="14" t="str">
        <x:f>IF($A231="","",ROUND(SUMIFS('전표'!$F$7:$F$306,'전표'!$A$7:$A$306,$A231)-SUMIFS('전표'!$G$7:$G$306,'전표'!$A$7:$A$306,$A231),0))</x:f>
      </x:c>
      <x:c r="Q231" s="14" t="n">
        <x:f>IF(ISNUMBER($P231),IF(ABS($P231)&gt;=1,1,0),0)</x:f>
        <x:v>0</x:v>
      </x:c>
    </x:row>
    <x:row r="232">
      <x:c r="A232" s="7"/>
      <x:c r="B232" s="11"/>
      <x:c r="C232" s="7"/>
      <x:c r="D232" s="7"/>
      <x:c r="E232" s="7"/>
      <x:c r="F232" s="13"/>
      <x:c r="G232" s="13"/>
      <x:c r="H232" s="13"/>
      <x:c r="I232" s="7"/>
      <x:c r="J232" s="7"/>
      <x:c r="K232" s="9" t="str">
        <x:f>IF($B232="","",TEXT($B232,"yyyy-mm"))</x:f>
      </x:c>
      <x:c r="L232" s="9" t="str">
        <x:f>IF($E232="","",IFERROR(INDEX('계정과목'!$B$6:$B$56,MATCH($E232,'계정과목'!$A$6:$A$56,0)),"미등록"))</x:f>
      </x:c>
      <x:c r="M232" s="9" t="str">
        <x:f>IF($E232="","",IFERROR(INDEX('계정과목'!$C$6:$C$56,MATCH($E232,'계정과목'!$A$6:$A$56,0)),""))</x:f>
      </x:c>
      <x:c r="N232" s="9" t="str">
        <x:f>IF($E232="","",IFERROR(INDEX('계정과목'!$D$6:$D$56,MATCH($E232,'계정과목'!$A$6:$A$56,0)),""))</x:f>
      </x:c>
      <x:c r="O232" s="9" t="str">
        <x:f>IF($E232="","",IF(COUNTIF('계정과목'!$A$6:$A$56,$E232)=0,"미등록","정상"))</x:f>
      </x:c>
      <x:c r="P232" s="14" t="str">
        <x:f>IF($A232="","",ROUND(SUMIFS('전표'!$F$7:$F$306,'전표'!$A$7:$A$306,$A232)-SUMIFS('전표'!$G$7:$G$306,'전표'!$A$7:$A$306,$A232),0))</x:f>
      </x:c>
      <x:c r="Q232" s="14" t="n">
        <x:f>IF(ISNUMBER($P232),IF(ABS($P232)&gt;=1,1,0),0)</x:f>
        <x:v>0</x:v>
      </x:c>
    </x:row>
    <x:row r="233">
      <x:c r="A233" s="7"/>
      <x:c r="B233" s="11"/>
      <x:c r="C233" s="7"/>
      <x:c r="D233" s="7"/>
      <x:c r="E233" s="7"/>
      <x:c r="F233" s="13"/>
      <x:c r="G233" s="13"/>
      <x:c r="H233" s="13"/>
      <x:c r="I233" s="7"/>
      <x:c r="J233" s="7"/>
      <x:c r="K233" s="9" t="str">
        <x:f>IF($B233="","",TEXT($B233,"yyyy-mm"))</x:f>
      </x:c>
      <x:c r="L233" s="9" t="str">
        <x:f>IF($E233="","",IFERROR(INDEX('계정과목'!$B$6:$B$56,MATCH($E233,'계정과목'!$A$6:$A$56,0)),"미등록"))</x:f>
      </x:c>
      <x:c r="M233" s="9" t="str">
        <x:f>IF($E233="","",IFERROR(INDEX('계정과목'!$C$6:$C$56,MATCH($E233,'계정과목'!$A$6:$A$56,0)),""))</x:f>
      </x:c>
      <x:c r="N233" s="9" t="str">
        <x:f>IF($E233="","",IFERROR(INDEX('계정과목'!$D$6:$D$56,MATCH($E233,'계정과목'!$A$6:$A$56,0)),""))</x:f>
      </x:c>
      <x:c r="O233" s="9" t="str">
        <x:f>IF($E233="","",IF(COUNTIF('계정과목'!$A$6:$A$56,$E233)=0,"미등록","정상"))</x:f>
      </x:c>
      <x:c r="P233" s="14" t="str">
        <x:f>IF($A233="","",ROUND(SUMIFS('전표'!$F$7:$F$306,'전표'!$A$7:$A$306,$A233)-SUMIFS('전표'!$G$7:$G$306,'전표'!$A$7:$A$306,$A233),0))</x:f>
      </x:c>
      <x:c r="Q233" s="14" t="n">
        <x:f>IF(ISNUMBER($P233),IF(ABS($P233)&gt;=1,1,0),0)</x:f>
        <x:v>0</x:v>
      </x:c>
    </x:row>
    <x:row r="234">
      <x:c r="A234" s="7"/>
      <x:c r="B234" s="11"/>
      <x:c r="C234" s="7"/>
      <x:c r="D234" s="7"/>
      <x:c r="E234" s="7"/>
      <x:c r="F234" s="13"/>
      <x:c r="G234" s="13"/>
      <x:c r="H234" s="13"/>
      <x:c r="I234" s="7"/>
      <x:c r="J234" s="7"/>
      <x:c r="K234" s="9" t="str">
        <x:f>IF($B234="","",TEXT($B234,"yyyy-mm"))</x:f>
      </x:c>
      <x:c r="L234" s="9" t="str">
        <x:f>IF($E234="","",IFERROR(INDEX('계정과목'!$B$6:$B$56,MATCH($E234,'계정과목'!$A$6:$A$56,0)),"미등록"))</x:f>
      </x:c>
      <x:c r="M234" s="9" t="str">
        <x:f>IF($E234="","",IFERROR(INDEX('계정과목'!$C$6:$C$56,MATCH($E234,'계정과목'!$A$6:$A$56,0)),""))</x:f>
      </x:c>
      <x:c r="N234" s="9" t="str">
        <x:f>IF($E234="","",IFERROR(INDEX('계정과목'!$D$6:$D$56,MATCH($E234,'계정과목'!$A$6:$A$56,0)),""))</x:f>
      </x:c>
      <x:c r="O234" s="9" t="str">
        <x:f>IF($E234="","",IF(COUNTIF('계정과목'!$A$6:$A$56,$E234)=0,"미등록","정상"))</x:f>
      </x:c>
      <x:c r="P234" s="14" t="str">
        <x:f>IF($A234="","",ROUND(SUMIFS('전표'!$F$7:$F$306,'전표'!$A$7:$A$306,$A234)-SUMIFS('전표'!$G$7:$G$306,'전표'!$A$7:$A$306,$A234),0))</x:f>
      </x:c>
      <x:c r="Q234" s="14" t="n">
        <x:f>IF(ISNUMBER($P234),IF(ABS($P234)&gt;=1,1,0),0)</x:f>
        <x:v>0</x:v>
      </x:c>
    </x:row>
    <x:row r="235">
      <x:c r="A235" s="7"/>
      <x:c r="B235" s="11"/>
      <x:c r="C235" s="7"/>
      <x:c r="D235" s="7"/>
      <x:c r="E235" s="7"/>
      <x:c r="F235" s="13"/>
      <x:c r="G235" s="13"/>
      <x:c r="H235" s="13"/>
      <x:c r="I235" s="7"/>
      <x:c r="J235" s="7"/>
      <x:c r="K235" s="9" t="str">
        <x:f>IF($B235="","",TEXT($B235,"yyyy-mm"))</x:f>
      </x:c>
      <x:c r="L235" s="9" t="str">
        <x:f>IF($E235="","",IFERROR(INDEX('계정과목'!$B$6:$B$56,MATCH($E235,'계정과목'!$A$6:$A$56,0)),"미등록"))</x:f>
      </x:c>
      <x:c r="M235" s="9" t="str">
        <x:f>IF($E235="","",IFERROR(INDEX('계정과목'!$C$6:$C$56,MATCH($E235,'계정과목'!$A$6:$A$56,0)),""))</x:f>
      </x:c>
      <x:c r="N235" s="9" t="str">
        <x:f>IF($E235="","",IFERROR(INDEX('계정과목'!$D$6:$D$56,MATCH($E235,'계정과목'!$A$6:$A$56,0)),""))</x:f>
      </x:c>
      <x:c r="O235" s="9" t="str">
        <x:f>IF($E235="","",IF(COUNTIF('계정과목'!$A$6:$A$56,$E235)=0,"미등록","정상"))</x:f>
      </x:c>
      <x:c r="P235" s="14" t="str">
        <x:f>IF($A235="","",ROUND(SUMIFS('전표'!$F$7:$F$306,'전표'!$A$7:$A$306,$A235)-SUMIFS('전표'!$G$7:$G$306,'전표'!$A$7:$A$306,$A235),0))</x:f>
      </x:c>
      <x:c r="Q235" s="14" t="n">
        <x:f>IF(ISNUMBER($P235),IF(ABS($P235)&gt;=1,1,0),0)</x:f>
        <x:v>0</x:v>
      </x:c>
    </x:row>
    <x:row r="236">
      <x:c r="A236" s="7"/>
      <x:c r="B236" s="11"/>
      <x:c r="C236" s="7"/>
      <x:c r="D236" s="7"/>
      <x:c r="E236" s="7"/>
      <x:c r="F236" s="13"/>
      <x:c r="G236" s="13"/>
      <x:c r="H236" s="13"/>
      <x:c r="I236" s="7"/>
      <x:c r="J236" s="7"/>
      <x:c r="K236" s="9" t="str">
        <x:f>IF($B236="","",TEXT($B236,"yyyy-mm"))</x:f>
      </x:c>
      <x:c r="L236" s="9" t="str">
        <x:f>IF($E236="","",IFERROR(INDEX('계정과목'!$B$6:$B$56,MATCH($E236,'계정과목'!$A$6:$A$56,0)),"미등록"))</x:f>
      </x:c>
      <x:c r="M236" s="9" t="str">
        <x:f>IF($E236="","",IFERROR(INDEX('계정과목'!$C$6:$C$56,MATCH($E236,'계정과목'!$A$6:$A$56,0)),""))</x:f>
      </x:c>
      <x:c r="N236" s="9" t="str">
        <x:f>IF($E236="","",IFERROR(INDEX('계정과목'!$D$6:$D$56,MATCH($E236,'계정과목'!$A$6:$A$56,0)),""))</x:f>
      </x:c>
      <x:c r="O236" s="9" t="str">
        <x:f>IF($E236="","",IF(COUNTIF('계정과목'!$A$6:$A$56,$E236)=0,"미등록","정상"))</x:f>
      </x:c>
      <x:c r="P236" s="14" t="str">
        <x:f>IF($A236="","",ROUND(SUMIFS('전표'!$F$7:$F$306,'전표'!$A$7:$A$306,$A236)-SUMIFS('전표'!$G$7:$G$306,'전표'!$A$7:$A$306,$A236),0))</x:f>
      </x:c>
      <x:c r="Q236" s="14" t="n">
        <x:f>IF(ISNUMBER($P236),IF(ABS($P236)&gt;=1,1,0),0)</x:f>
        <x:v>0</x:v>
      </x:c>
    </x:row>
    <x:row r="237">
      <x:c r="A237" s="7"/>
      <x:c r="B237" s="11"/>
      <x:c r="C237" s="7"/>
      <x:c r="D237" s="7"/>
      <x:c r="E237" s="7"/>
      <x:c r="F237" s="13"/>
      <x:c r="G237" s="13"/>
      <x:c r="H237" s="13"/>
      <x:c r="I237" s="7"/>
      <x:c r="J237" s="7"/>
      <x:c r="K237" s="9" t="str">
        <x:f>IF($B237="","",TEXT($B237,"yyyy-mm"))</x:f>
      </x:c>
      <x:c r="L237" s="9" t="str">
        <x:f>IF($E237="","",IFERROR(INDEX('계정과목'!$B$6:$B$56,MATCH($E237,'계정과목'!$A$6:$A$56,0)),"미등록"))</x:f>
      </x:c>
      <x:c r="M237" s="9" t="str">
        <x:f>IF($E237="","",IFERROR(INDEX('계정과목'!$C$6:$C$56,MATCH($E237,'계정과목'!$A$6:$A$56,0)),""))</x:f>
      </x:c>
      <x:c r="N237" s="9" t="str">
        <x:f>IF($E237="","",IFERROR(INDEX('계정과목'!$D$6:$D$56,MATCH($E237,'계정과목'!$A$6:$A$56,0)),""))</x:f>
      </x:c>
      <x:c r="O237" s="9" t="str">
        <x:f>IF($E237="","",IF(COUNTIF('계정과목'!$A$6:$A$56,$E237)=0,"미등록","정상"))</x:f>
      </x:c>
      <x:c r="P237" s="14" t="str">
        <x:f>IF($A237="","",ROUND(SUMIFS('전표'!$F$7:$F$306,'전표'!$A$7:$A$306,$A237)-SUMIFS('전표'!$G$7:$G$306,'전표'!$A$7:$A$306,$A237),0))</x:f>
      </x:c>
      <x:c r="Q237" s="14" t="n">
        <x:f>IF(ISNUMBER($P237),IF(ABS($P237)&gt;=1,1,0),0)</x:f>
        <x:v>0</x:v>
      </x:c>
    </x:row>
    <x:row r="238">
      <x:c r="A238" s="7"/>
      <x:c r="B238" s="11"/>
      <x:c r="C238" s="7"/>
      <x:c r="D238" s="7"/>
      <x:c r="E238" s="7"/>
      <x:c r="F238" s="13"/>
      <x:c r="G238" s="13"/>
      <x:c r="H238" s="13"/>
      <x:c r="I238" s="7"/>
      <x:c r="J238" s="7"/>
      <x:c r="K238" s="9" t="str">
        <x:f>IF($B238="","",TEXT($B238,"yyyy-mm"))</x:f>
      </x:c>
      <x:c r="L238" s="9" t="str">
        <x:f>IF($E238="","",IFERROR(INDEX('계정과목'!$B$6:$B$56,MATCH($E238,'계정과목'!$A$6:$A$56,0)),"미등록"))</x:f>
      </x:c>
      <x:c r="M238" s="9" t="str">
        <x:f>IF($E238="","",IFERROR(INDEX('계정과목'!$C$6:$C$56,MATCH($E238,'계정과목'!$A$6:$A$56,0)),""))</x:f>
      </x:c>
      <x:c r="N238" s="9" t="str">
        <x:f>IF($E238="","",IFERROR(INDEX('계정과목'!$D$6:$D$56,MATCH($E238,'계정과목'!$A$6:$A$56,0)),""))</x:f>
      </x:c>
      <x:c r="O238" s="9" t="str">
        <x:f>IF($E238="","",IF(COUNTIF('계정과목'!$A$6:$A$56,$E238)=0,"미등록","정상"))</x:f>
      </x:c>
      <x:c r="P238" s="14" t="str">
        <x:f>IF($A238="","",ROUND(SUMIFS('전표'!$F$7:$F$306,'전표'!$A$7:$A$306,$A238)-SUMIFS('전표'!$G$7:$G$306,'전표'!$A$7:$A$306,$A238),0))</x:f>
      </x:c>
      <x:c r="Q238" s="14" t="n">
        <x:f>IF(ISNUMBER($P238),IF(ABS($P238)&gt;=1,1,0),0)</x:f>
        <x:v>0</x:v>
      </x:c>
    </x:row>
    <x:row r="239">
      <x:c r="A239" s="7"/>
      <x:c r="B239" s="11"/>
      <x:c r="C239" s="7"/>
      <x:c r="D239" s="7"/>
      <x:c r="E239" s="7"/>
      <x:c r="F239" s="13"/>
      <x:c r="G239" s="13"/>
      <x:c r="H239" s="13"/>
      <x:c r="I239" s="7"/>
      <x:c r="J239" s="7"/>
      <x:c r="K239" s="9" t="str">
        <x:f>IF($B239="","",TEXT($B239,"yyyy-mm"))</x:f>
      </x:c>
      <x:c r="L239" s="9" t="str">
        <x:f>IF($E239="","",IFERROR(INDEX('계정과목'!$B$6:$B$56,MATCH($E239,'계정과목'!$A$6:$A$56,0)),"미등록"))</x:f>
      </x:c>
      <x:c r="M239" s="9" t="str">
        <x:f>IF($E239="","",IFERROR(INDEX('계정과목'!$C$6:$C$56,MATCH($E239,'계정과목'!$A$6:$A$56,0)),""))</x:f>
      </x:c>
      <x:c r="N239" s="9" t="str">
        <x:f>IF($E239="","",IFERROR(INDEX('계정과목'!$D$6:$D$56,MATCH($E239,'계정과목'!$A$6:$A$56,0)),""))</x:f>
      </x:c>
      <x:c r="O239" s="9" t="str">
        <x:f>IF($E239="","",IF(COUNTIF('계정과목'!$A$6:$A$56,$E239)=0,"미등록","정상"))</x:f>
      </x:c>
      <x:c r="P239" s="14" t="str">
        <x:f>IF($A239="","",ROUND(SUMIFS('전표'!$F$7:$F$306,'전표'!$A$7:$A$306,$A239)-SUMIFS('전표'!$G$7:$G$306,'전표'!$A$7:$A$306,$A239),0))</x:f>
      </x:c>
      <x:c r="Q239" s="14" t="n">
        <x:f>IF(ISNUMBER($P239),IF(ABS($P239)&gt;=1,1,0),0)</x:f>
        <x:v>0</x:v>
      </x:c>
    </x:row>
    <x:row r="240">
      <x:c r="A240" s="7"/>
      <x:c r="B240" s="11"/>
      <x:c r="C240" s="7"/>
      <x:c r="D240" s="7"/>
      <x:c r="E240" s="7"/>
      <x:c r="F240" s="13"/>
      <x:c r="G240" s="13"/>
      <x:c r="H240" s="13"/>
      <x:c r="I240" s="7"/>
      <x:c r="J240" s="7"/>
      <x:c r="K240" s="9" t="str">
        <x:f>IF($B240="","",TEXT($B240,"yyyy-mm"))</x:f>
      </x:c>
      <x:c r="L240" s="9" t="str">
        <x:f>IF($E240="","",IFERROR(INDEX('계정과목'!$B$6:$B$56,MATCH($E240,'계정과목'!$A$6:$A$56,0)),"미등록"))</x:f>
      </x:c>
      <x:c r="M240" s="9" t="str">
        <x:f>IF($E240="","",IFERROR(INDEX('계정과목'!$C$6:$C$56,MATCH($E240,'계정과목'!$A$6:$A$56,0)),""))</x:f>
      </x:c>
      <x:c r="N240" s="9" t="str">
        <x:f>IF($E240="","",IFERROR(INDEX('계정과목'!$D$6:$D$56,MATCH($E240,'계정과목'!$A$6:$A$56,0)),""))</x:f>
      </x:c>
      <x:c r="O240" s="9" t="str">
        <x:f>IF($E240="","",IF(COUNTIF('계정과목'!$A$6:$A$56,$E240)=0,"미등록","정상"))</x:f>
      </x:c>
      <x:c r="P240" s="14" t="str">
        <x:f>IF($A240="","",ROUND(SUMIFS('전표'!$F$7:$F$306,'전표'!$A$7:$A$306,$A240)-SUMIFS('전표'!$G$7:$G$306,'전표'!$A$7:$A$306,$A240),0))</x:f>
      </x:c>
      <x:c r="Q240" s="14" t="n">
        <x:f>IF(ISNUMBER($P240),IF(ABS($P240)&gt;=1,1,0),0)</x:f>
        <x:v>0</x:v>
      </x:c>
    </x:row>
    <x:row r="241">
      <x:c r="A241" s="7"/>
      <x:c r="B241" s="11"/>
      <x:c r="C241" s="7"/>
      <x:c r="D241" s="7"/>
      <x:c r="E241" s="7"/>
      <x:c r="F241" s="13"/>
      <x:c r="G241" s="13"/>
      <x:c r="H241" s="13"/>
      <x:c r="I241" s="7"/>
      <x:c r="J241" s="7"/>
      <x:c r="K241" s="9" t="str">
        <x:f>IF($B241="","",TEXT($B241,"yyyy-mm"))</x:f>
      </x:c>
      <x:c r="L241" s="9" t="str">
        <x:f>IF($E241="","",IFERROR(INDEX('계정과목'!$B$6:$B$56,MATCH($E241,'계정과목'!$A$6:$A$56,0)),"미등록"))</x:f>
      </x:c>
      <x:c r="M241" s="9" t="str">
        <x:f>IF($E241="","",IFERROR(INDEX('계정과목'!$C$6:$C$56,MATCH($E241,'계정과목'!$A$6:$A$56,0)),""))</x:f>
      </x:c>
      <x:c r="N241" s="9" t="str">
        <x:f>IF($E241="","",IFERROR(INDEX('계정과목'!$D$6:$D$56,MATCH($E241,'계정과목'!$A$6:$A$56,0)),""))</x:f>
      </x:c>
      <x:c r="O241" s="9" t="str">
        <x:f>IF($E241="","",IF(COUNTIF('계정과목'!$A$6:$A$56,$E241)=0,"미등록","정상"))</x:f>
      </x:c>
      <x:c r="P241" s="14" t="str">
        <x:f>IF($A241="","",ROUND(SUMIFS('전표'!$F$7:$F$306,'전표'!$A$7:$A$306,$A241)-SUMIFS('전표'!$G$7:$G$306,'전표'!$A$7:$A$306,$A241),0))</x:f>
      </x:c>
      <x:c r="Q241" s="14" t="n">
        <x:f>IF(ISNUMBER($P241),IF(ABS($P241)&gt;=1,1,0),0)</x:f>
        <x:v>0</x:v>
      </x:c>
    </x:row>
    <x:row r="242">
      <x:c r="A242" s="7"/>
      <x:c r="B242" s="11"/>
      <x:c r="C242" s="7"/>
      <x:c r="D242" s="7"/>
      <x:c r="E242" s="7"/>
      <x:c r="F242" s="13"/>
      <x:c r="G242" s="13"/>
      <x:c r="H242" s="13"/>
      <x:c r="I242" s="7"/>
      <x:c r="J242" s="7"/>
      <x:c r="K242" s="9" t="str">
        <x:f>IF($B242="","",TEXT($B242,"yyyy-mm"))</x:f>
      </x:c>
      <x:c r="L242" s="9" t="str">
        <x:f>IF($E242="","",IFERROR(INDEX('계정과목'!$B$6:$B$56,MATCH($E242,'계정과목'!$A$6:$A$56,0)),"미등록"))</x:f>
      </x:c>
      <x:c r="M242" s="9" t="str">
        <x:f>IF($E242="","",IFERROR(INDEX('계정과목'!$C$6:$C$56,MATCH($E242,'계정과목'!$A$6:$A$56,0)),""))</x:f>
      </x:c>
      <x:c r="N242" s="9" t="str">
        <x:f>IF($E242="","",IFERROR(INDEX('계정과목'!$D$6:$D$56,MATCH($E242,'계정과목'!$A$6:$A$56,0)),""))</x:f>
      </x:c>
      <x:c r="O242" s="9" t="str">
        <x:f>IF($E242="","",IF(COUNTIF('계정과목'!$A$6:$A$56,$E242)=0,"미등록","정상"))</x:f>
      </x:c>
      <x:c r="P242" s="14" t="str">
        <x:f>IF($A242="","",ROUND(SUMIFS('전표'!$F$7:$F$306,'전표'!$A$7:$A$306,$A242)-SUMIFS('전표'!$G$7:$G$306,'전표'!$A$7:$A$306,$A242),0))</x:f>
      </x:c>
      <x:c r="Q242" s="14" t="n">
        <x:f>IF(ISNUMBER($P242),IF(ABS($P242)&gt;=1,1,0),0)</x:f>
        <x:v>0</x:v>
      </x:c>
    </x:row>
    <x:row r="243">
      <x:c r="A243" s="7"/>
      <x:c r="B243" s="11"/>
      <x:c r="C243" s="7"/>
      <x:c r="D243" s="7"/>
      <x:c r="E243" s="7"/>
      <x:c r="F243" s="13"/>
      <x:c r="G243" s="13"/>
      <x:c r="H243" s="13"/>
      <x:c r="I243" s="7"/>
      <x:c r="J243" s="7"/>
      <x:c r="K243" s="9" t="str">
        <x:f>IF($B243="","",TEXT($B243,"yyyy-mm"))</x:f>
      </x:c>
      <x:c r="L243" s="9" t="str">
        <x:f>IF($E243="","",IFERROR(INDEX('계정과목'!$B$6:$B$56,MATCH($E243,'계정과목'!$A$6:$A$56,0)),"미등록"))</x:f>
      </x:c>
      <x:c r="M243" s="9" t="str">
        <x:f>IF($E243="","",IFERROR(INDEX('계정과목'!$C$6:$C$56,MATCH($E243,'계정과목'!$A$6:$A$56,0)),""))</x:f>
      </x:c>
      <x:c r="N243" s="9" t="str">
        <x:f>IF($E243="","",IFERROR(INDEX('계정과목'!$D$6:$D$56,MATCH($E243,'계정과목'!$A$6:$A$56,0)),""))</x:f>
      </x:c>
      <x:c r="O243" s="9" t="str">
        <x:f>IF($E243="","",IF(COUNTIF('계정과목'!$A$6:$A$56,$E243)=0,"미등록","정상"))</x:f>
      </x:c>
      <x:c r="P243" s="14" t="str">
        <x:f>IF($A243="","",ROUND(SUMIFS('전표'!$F$7:$F$306,'전표'!$A$7:$A$306,$A243)-SUMIFS('전표'!$G$7:$G$306,'전표'!$A$7:$A$306,$A243),0))</x:f>
      </x:c>
      <x:c r="Q243" s="14" t="n">
        <x:f>IF(ISNUMBER($P243),IF(ABS($P243)&gt;=1,1,0),0)</x:f>
        <x:v>0</x:v>
      </x:c>
    </x:row>
    <x:row r="244">
      <x:c r="A244" s="7"/>
      <x:c r="B244" s="11"/>
      <x:c r="C244" s="7"/>
      <x:c r="D244" s="7"/>
      <x:c r="E244" s="7"/>
      <x:c r="F244" s="13"/>
      <x:c r="G244" s="13"/>
      <x:c r="H244" s="13"/>
      <x:c r="I244" s="7"/>
      <x:c r="J244" s="7"/>
      <x:c r="K244" s="9" t="str">
        <x:f>IF($B244="","",TEXT($B244,"yyyy-mm"))</x:f>
      </x:c>
      <x:c r="L244" s="9" t="str">
        <x:f>IF($E244="","",IFERROR(INDEX('계정과목'!$B$6:$B$56,MATCH($E244,'계정과목'!$A$6:$A$56,0)),"미등록"))</x:f>
      </x:c>
      <x:c r="M244" s="9" t="str">
        <x:f>IF($E244="","",IFERROR(INDEX('계정과목'!$C$6:$C$56,MATCH($E244,'계정과목'!$A$6:$A$56,0)),""))</x:f>
      </x:c>
      <x:c r="N244" s="9" t="str">
        <x:f>IF($E244="","",IFERROR(INDEX('계정과목'!$D$6:$D$56,MATCH($E244,'계정과목'!$A$6:$A$56,0)),""))</x:f>
      </x:c>
      <x:c r="O244" s="9" t="str">
        <x:f>IF($E244="","",IF(COUNTIF('계정과목'!$A$6:$A$56,$E244)=0,"미등록","정상"))</x:f>
      </x:c>
      <x:c r="P244" s="14" t="str">
        <x:f>IF($A244="","",ROUND(SUMIFS('전표'!$F$7:$F$306,'전표'!$A$7:$A$306,$A244)-SUMIFS('전표'!$G$7:$G$306,'전표'!$A$7:$A$306,$A244),0))</x:f>
      </x:c>
      <x:c r="Q244" s="14" t="n">
        <x:f>IF(ISNUMBER($P244),IF(ABS($P244)&gt;=1,1,0),0)</x:f>
        <x:v>0</x:v>
      </x:c>
    </x:row>
    <x:row r="245">
      <x:c r="A245" s="7"/>
      <x:c r="B245" s="11"/>
      <x:c r="C245" s="7"/>
      <x:c r="D245" s="7"/>
      <x:c r="E245" s="7"/>
      <x:c r="F245" s="13"/>
      <x:c r="G245" s="13"/>
      <x:c r="H245" s="13"/>
      <x:c r="I245" s="7"/>
      <x:c r="J245" s="7"/>
      <x:c r="K245" s="9" t="str">
        <x:f>IF($B245="","",TEXT($B245,"yyyy-mm"))</x:f>
      </x:c>
      <x:c r="L245" s="9" t="str">
        <x:f>IF($E245="","",IFERROR(INDEX('계정과목'!$B$6:$B$56,MATCH($E245,'계정과목'!$A$6:$A$56,0)),"미등록"))</x:f>
      </x:c>
      <x:c r="M245" s="9" t="str">
        <x:f>IF($E245="","",IFERROR(INDEX('계정과목'!$C$6:$C$56,MATCH($E245,'계정과목'!$A$6:$A$56,0)),""))</x:f>
      </x:c>
      <x:c r="N245" s="9" t="str">
        <x:f>IF($E245="","",IFERROR(INDEX('계정과목'!$D$6:$D$56,MATCH($E245,'계정과목'!$A$6:$A$56,0)),""))</x:f>
      </x:c>
      <x:c r="O245" s="9" t="str">
        <x:f>IF($E245="","",IF(COUNTIF('계정과목'!$A$6:$A$56,$E245)=0,"미등록","정상"))</x:f>
      </x:c>
      <x:c r="P245" s="14" t="str">
        <x:f>IF($A245="","",ROUND(SUMIFS('전표'!$F$7:$F$306,'전표'!$A$7:$A$306,$A245)-SUMIFS('전표'!$G$7:$G$306,'전표'!$A$7:$A$306,$A245),0))</x:f>
      </x:c>
      <x:c r="Q245" s="14" t="n">
        <x:f>IF(ISNUMBER($P245),IF(ABS($P245)&gt;=1,1,0),0)</x:f>
        <x:v>0</x:v>
      </x:c>
    </x:row>
    <x:row r="246">
      <x:c r="A246" s="7"/>
      <x:c r="B246" s="11"/>
      <x:c r="C246" s="7"/>
      <x:c r="D246" s="7"/>
      <x:c r="E246" s="7"/>
      <x:c r="F246" s="13"/>
      <x:c r="G246" s="13"/>
      <x:c r="H246" s="13"/>
      <x:c r="I246" s="7"/>
      <x:c r="J246" s="7"/>
      <x:c r="K246" s="9" t="str">
        <x:f>IF($B246="","",TEXT($B246,"yyyy-mm"))</x:f>
      </x:c>
      <x:c r="L246" s="9" t="str">
        <x:f>IF($E246="","",IFERROR(INDEX('계정과목'!$B$6:$B$56,MATCH($E246,'계정과목'!$A$6:$A$56,0)),"미등록"))</x:f>
      </x:c>
      <x:c r="M246" s="9" t="str">
        <x:f>IF($E246="","",IFERROR(INDEX('계정과목'!$C$6:$C$56,MATCH($E246,'계정과목'!$A$6:$A$56,0)),""))</x:f>
      </x:c>
      <x:c r="N246" s="9" t="str">
        <x:f>IF($E246="","",IFERROR(INDEX('계정과목'!$D$6:$D$56,MATCH($E246,'계정과목'!$A$6:$A$56,0)),""))</x:f>
      </x:c>
      <x:c r="O246" s="9" t="str">
        <x:f>IF($E246="","",IF(COUNTIF('계정과목'!$A$6:$A$56,$E246)=0,"미등록","정상"))</x:f>
      </x:c>
      <x:c r="P246" s="14" t="str">
        <x:f>IF($A246="","",ROUND(SUMIFS('전표'!$F$7:$F$306,'전표'!$A$7:$A$306,$A246)-SUMIFS('전표'!$G$7:$G$306,'전표'!$A$7:$A$306,$A246),0))</x:f>
      </x:c>
      <x:c r="Q246" s="14" t="n">
        <x:f>IF(ISNUMBER($P246),IF(ABS($P246)&gt;=1,1,0),0)</x:f>
        <x:v>0</x:v>
      </x:c>
    </x:row>
    <x:row r="247">
      <x:c r="A247" s="7"/>
      <x:c r="B247" s="11"/>
      <x:c r="C247" s="7"/>
      <x:c r="D247" s="7"/>
      <x:c r="E247" s="7"/>
      <x:c r="F247" s="13"/>
      <x:c r="G247" s="13"/>
      <x:c r="H247" s="13"/>
      <x:c r="I247" s="7"/>
      <x:c r="J247" s="7"/>
      <x:c r="K247" s="9" t="str">
        <x:f>IF($B247="","",TEXT($B247,"yyyy-mm"))</x:f>
      </x:c>
      <x:c r="L247" s="9" t="str">
        <x:f>IF($E247="","",IFERROR(INDEX('계정과목'!$B$6:$B$56,MATCH($E247,'계정과목'!$A$6:$A$56,0)),"미등록"))</x:f>
      </x:c>
      <x:c r="M247" s="9" t="str">
        <x:f>IF($E247="","",IFERROR(INDEX('계정과목'!$C$6:$C$56,MATCH($E247,'계정과목'!$A$6:$A$56,0)),""))</x:f>
      </x:c>
      <x:c r="N247" s="9" t="str">
        <x:f>IF($E247="","",IFERROR(INDEX('계정과목'!$D$6:$D$56,MATCH($E247,'계정과목'!$A$6:$A$56,0)),""))</x:f>
      </x:c>
      <x:c r="O247" s="9" t="str">
        <x:f>IF($E247="","",IF(COUNTIF('계정과목'!$A$6:$A$56,$E247)=0,"미등록","정상"))</x:f>
      </x:c>
      <x:c r="P247" s="14" t="str">
        <x:f>IF($A247="","",ROUND(SUMIFS('전표'!$F$7:$F$306,'전표'!$A$7:$A$306,$A247)-SUMIFS('전표'!$G$7:$G$306,'전표'!$A$7:$A$306,$A247),0))</x:f>
      </x:c>
      <x:c r="Q247" s="14" t="n">
        <x:f>IF(ISNUMBER($P247),IF(ABS($P247)&gt;=1,1,0),0)</x:f>
        <x:v>0</x:v>
      </x:c>
    </x:row>
    <x:row r="248">
      <x:c r="A248" s="7"/>
      <x:c r="B248" s="11"/>
      <x:c r="C248" s="7"/>
      <x:c r="D248" s="7"/>
      <x:c r="E248" s="7"/>
      <x:c r="F248" s="13"/>
      <x:c r="G248" s="13"/>
      <x:c r="H248" s="13"/>
      <x:c r="I248" s="7"/>
      <x:c r="J248" s="7"/>
      <x:c r="K248" s="9" t="str">
        <x:f>IF($B248="","",TEXT($B248,"yyyy-mm"))</x:f>
      </x:c>
      <x:c r="L248" s="9" t="str">
        <x:f>IF($E248="","",IFERROR(INDEX('계정과목'!$B$6:$B$56,MATCH($E248,'계정과목'!$A$6:$A$56,0)),"미등록"))</x:f>
      </x:c>
      <x:c r="M248" s="9" t="str">
        <x:f>IF($E248="","",IFERROR(INDEX('계정과목'!$C$6:$C$56,MATCH($E248,'계정과목'!$A$6:$A$56,0)),""))</x:f>
      </x:c>
      <x:c r="N248" s="9" t="str">
        <x:f>IF($E248="","",IFERROR(INDEX('계정과목'!$D$6:$D$56,MATCH($E248,'계정과목'!$A$6:$A$56,0)),""))</x:f>
      </x:c>
      <x:c r="O248" s="9" t="str">
        <x:f>IF($E248="","",IF(COUNTIF('계정과목'!$A$6:$A$56,$E248)=0,"미등록","정상"))</x:f>
      </x:c>
      <x:c r="P248" s="14" t="str">
        <x:f>IF($A248="","",ROUND(SUMIFS('전표'!$F$7:$F$306,'전표'!$A$7:$A$306,$A248)-SUMIFS('전표'!$G$7:$G$306,'전표'!$A$7:$A$306,$A248),0))</x:f>
      </x:c>
      <x:c r="Q248" s="14" t="n">
        <x:f>IF(ISNUMBER($P248),IF(ABS($P248)&gt;=1,1,0),0)</x:f>
        <x:v>0</x:v>
      </x:c>
    </x:row>
    <x:row r="249">
      <x:c r="A249" s="7"/>
      <x:c r="B249" s="11"/>
      <x:c r="C249" s="7"/>
      <x:c r="D249" s="7"/>
      <x:c r="E249" s="7"/>
      <x:c r="F249" s="13"/>
      <x:c r="G249" s="13"/>
      <x:c r="H249" s="13"/>
      <x:c r="I249" s="7"/>
      <x:c r="J249" s="7"/>
      <x:c r="K249" s="9" t="str">
        <x:f>IF($B249="","",TEXT($B249,"yyyy-mm"))</x:f>
      </x:c>
      <x:c r="L249" s="9" t="str">
        <x:f>IF($E249="","",IFERROR(INDEX('계정과목'!$B$6:$B$56,MATCH($E249,'계정과목'!$A$6:$A$56,0)),"미등록"))</x:f>
      </x:c>
      <x:c r="M249" s="9" t="str">
        <x:f>IF($E249="","",IFERROR(INDEX('계정과목'!$C$6:$C$56,MATCH($E249,'계정과목'!$A$6:$A$56,0)),""))</x:f>
      </x:c>
      <x:c r="N249" s="9" t="str">
        <x:f>IF($E249="","",IFERROR(INDEX('계정과목'!$D$6:$D$56,MATCH($E249,'계정과목'!$A$6:$A$56,0)),""))</x:f>
      </x:c>
      <x:c r="O249" s="9" t="str">
        <x:f>IF($E249="","",IF(COUNTIF('계정과목'!$A$6:$A$56,$E249)=0,"미등록","정상"))</x:f>
      </x:c>
      <x:c r="P249" s="14" t="str">
        <x:f>IF($A249="","",ROUND(SUMIFS('전표'!$F$7:$F$306,'전표'!$A$7:$A$306,$A249)-SUMIFS('전표'!$G$7:$G$306,'전표'!$A$7:$A$306,$A249),0))</x:f>
      </x:c>
      <x:c r="Q249" s="14" t="n">
        <x:f>IF(ISNUMBER($P249),IF(ABS($P249)&gt;=1,1,0),0)</x:f>
        <x:v>0</x:v>
      </x:c>
    </x:row>
    <x:row r="250">
      <x:c r="A250" s="7"/>
      <x:c r="B250" s="11"/>
      <x:c r="C250" s="7"/>
      <x:c r="D250" s="7"/>
      <x:c r="E250" s="7"/>
      <x:c r="F250" s="13"/>
      <x:c r="G250" s="13"/>
      <x:c r="H250" s="13"/>
      <x:c r="I250" s="7"/>
      <x:c r="J250" s="7"/>
      <x:c r="K250" s="9" t="str">
        <x:f>IF($B250="","",TEXT($B250,"yyyy-mm"))</x:f>
      </x:c>
      <x:c r="L250" s="9" t="str">
        <x:f>IF($E250="","",IFERROR(INDEX('계정과목'!$B$6:$B$56,MATCH($E250,'계정과목'!$A$6:$A$56,0)),"미등록"))</x:f>
      </x:c>
      <x:c r="M250" s="9" t="str">
        <x:f>IF($E250="","",IFERROR(INDEX('계정과목'!$C$6:$C$56,MATCH($E250,'계정과목'!$A$6:$A$56,0)),""))</x:f>
      </x:c>
      <x:c r="N250" s="9" t="str">
        <x:f>IF($E250="","",IFERROR(INDEX('계정과목'!$D$6:$D$56,MATCH($E250,'계정과목'!$A$6:$A$56,0)),""))</x:f>
      </x:c>
      <x:c r="O250" s="9" t="str">
        <x:f>IF($E250="","",IF(COUNTIF('계정과목'!$A$6:$A$56,$E250)=0,"미등록","정상"))</x:f>
      </x:c>
      <x:c r="P250" s="14" t="str">
        <x:f>IF($A250="","",ROUND(SUMIFS('전표'!$F$7:$F$306,'전표'!$A$7:$A$306,$A250)-SUMIFS('전표'!$G$7:$G$306,'전표'!$A$7:$A$306,$A250),0))</x:f>
      </x:c>
      <x:c r="Q250" s="14" t="n">
        <x:f>IF(ISNUMBER($P250),IF(ABS($P250)&gt;=1,1,0),0)</x:f>
        <x:v>0</x:v>
      </x:c>
    </x:row>
    <x:row r="251">
      <x:c r="A251" s="7"/>
      <x:c r="B251" s="11"/>
      <x:c r="C251" s="7"/>
      <x:c r="D251" s="7"/>
      <x:c r="E251" s="7"/>
      <x:c r="F251" s="13"/>
      <x:c r="G251" s="13"/>
      <x:c r="H251" s="13"/>
      <x:c r="I251" s="7"/>
      <x:c r="J251" s="7"/>
      <x:c r="K251" s="9" t="str">
        <x:f>IF($B251="","",TEXT($B251,"yyyy-mm"))</x:f>
      </x:c>
      <x:c r="L251" s="9" t="str">
        <x:f>IF($E251="","",IFERROR(INDEX('계정과목'!$B$6:$B$56,MATCH($E251,'계정과목'!$A$6:$A$56,0)),"미등록"))</x:f>
      </x:c>
      <x:c r="M251" s="9" t="str">
        <x:f>IF($E251="","",IFERROR(INDEX('계정과목'!$C$6:$C$56,MATCH($E251,'계정과목'!$A$6:$A$56,0)),""))</x:f>
      </x:c>
      <x:c r="N251" s="9" t="str">
        <x:f>IF($E251="","",IFERROR(INDEX('계정과목'!$D$6:$D$56,MATCH($E251,'계정과목'!$A$6:$A$56,0)),""))</x:f>
      </x:c>
      <x:c r="O251" s="9" t="str">
        <x:f>IF($E251="","",IF(COUNTIF('계정과목'!$A$6:$A$56,$E251)=0,"미등록","정상"))</x:f>
      </x:c>
      <x:c r="P251" s="14" t="str">
        <x:f>IF($A251="","",ROUND(SUMIFS('전표'!$F$7:$F$306,'전표'!$A$7:$A$306,$A251)-SUMIFS('전표'!$G$7:$G$306,'전표'!$A$7:$A$306,$A251),0))</x:f>
      </x:c>
      <x:c r="Q251" s="14" t="n">
        <x:f>IF(ISNUMBER($P251),IF(ABS($P251)&gt;=1,1,0),0)</x:f>
        <x:v>0</x:v>
      </x:c>
    </x:row>
    <x:row r="252">
      <x:c r="A252" s="7"/>
      <x:c r="B252" s="11"/>
      <x:c r="C252" s="7"/>
      <x:c r="D252" s="7"/>
      <x:c r="E252" s="7"/>
      <x:c r="F252" s="13"/>
      <x:c r="G252" s="13"/>
      <x:c r="H252" s="13"/>
      <x:c r="I252" s="7"/>
      <x:c r="J252" s="7"/>
      <x:c r="K252" s="9" t="str">
        <x:f>IF($B252="","",TEXT($B252,"yyyy-mm"))</x:f>
      </x:c>
      <x:c r="L252" s="9" t="str">
        <x:f>IF($E252="","",IFERROR(INDEX('계정과목'!$B$6:$B$56,MATCH($E252,'계정과목'!$A$6:$A$56,0)),"미등록"))</x:f>
      </x:c>
      <x:c r="M252" s="9" t="str">
        <x:f>IF($E252="","",IFERROR(INDEX('계정과목'!$C$6:$C$56,MATCH($E252,'계정과목'!$A$6:$A$56,0)),""))</x:f>
      </x:c>
      <x:c r="N252" s="9" t="str">
        <x:f>IF($E252="","",IFERROR(INDEX('계정과목'!$D$6:$D$56,MATCH($E252,'계정과목'!$A$6:$A$56,0)),""))</x:f>
      </x:c>
      <x:c r="O252" s="9" t="str">
        <x:f>IF($E252="","",IF(COUNTIF('계정과목'!$A$6:$A$56,$E252)=0,"미등록","정상"))</x:f>
      </x:c>
      <x:c r="P252" s="14" t="str">
        <x:f>IF($A252="","",ROUND(SUMIFS('전표'!$F$7:$F$306,'전표'!$A$7:$A$306,$A252)-SUMIFS('전표'!$G$7:$G$306,'전표'!$A$7:$A$306,$A252),0))</x:f>
      </x:c>
      <x:c r="Q252" s="14" t="n">
        <x:f>IF(ISNUMBER($P252),IF(ABS($P252)&gt;=1,1,0),0)</x:f>
        <x:v>0</x:v>
      </x:c>
    </x:row>
    <x:row r="253">
      <x:c r="A253" s="7"/>
      <x:c r="B253" s="11"/>
      <x:c r="C253" s="7"/>
      <x:c r="D253" s="7"/>
      <x:c r="E253" s="7"/>
      <x:c r="F253" s="13"/>
      <x:c r="G253" s="13"/>
      <x:c r="H253" s="13"/>
      <x:c r="I253" s="7"/>
      <x:c r="J253" s="7"/>
      <x:c r="K253" s="9" t="str">
        <x:f>IF($B253="","",TEXT($B253,"yyyy-mm"))</x:f>
      </x:c>
      <x:c r="L253" s="9" t="str">
        <x:f>IF($E253="","",IFERROR(INDEX('계정과목'!$B$6:$B$56,MATCH($E253,'계정과목'!$A$6:$A$56,0)),"미등록"))</x:f>
      </x:c>
      <x:c r="M253" s="9" t="str">
        <x:f>IF($E253="","",IFERROR(INDEX('계정과목'!$C$6:$C$56,MATCH($E253,'계정과목'!$A$6:$A$56,0)),""))</x:f>
      </x:c>
      <x:c r="N253" s="9" t="str">
        <x:f>IF($E253="","",IFERROR(INDEX('계정과목'!$D$6:$D$56,MATCH($E253,'계정과목'!$A$6:$A$56,0)),""))</x:f>
      </x:c>
      <x:c r="O253" s="9" t="str">
        <x:f>IF($E253="","",IF(COUNTIF('계정과목'!$A$6:$A$56,$E253)=0,"미등록","정상"))</x:f>
      </x:c>
      <x:c r="P253" s="14" t="str">
        <x:f>IF($A253="","",ROUND(SUMIFS('전표'!$F$7:$F$306,'전표'!$A$7:$A$306,$A253)-SUMIFS('전표'!$G$7:$G$306,'전표'!$A$7:$A$306,$A253),0))</x:f>
      </x:c>
      <x:c r="Q253" s="14" t="n">
        <x:f>IF(ISNUMBER($P253),IF(ABS($P253)&gt;=1,1,0),0)</x:f>
        <x:v>0</x:v>
      </x:c>
    </x:row>
    <x:row r="254">
      <x:c r="A254" s="7"/>
      <x:c r="B254" s="11"/>
      <x:c r="C254" s="7"/>
      <x:c r="D254" s="7"/>
      <x:c r="E254" s="7"/>
      <x:c r="F254" s="13"/>
      <x:c r="G254" s="13"/>
      <x:c r="H254" s="13"/>
      <x:c r="I254" s="7"/>
      <x:c r="J254" s="7"/>
      <x:c r="K254" s="9" t="str">
        <x:f>IF($B254="","",TEXT($B254,"yyyy-mm"))</x:f>
      </x:c>
      <x:c r="L254" s="9" t="str">
        <x:f>IF($E254="","",IFERROR(INDEX('계정과목'!$B$6:$B$56,MATCH($E254,'계정과목'!$A$6:$A$56,0)),"미등록"))</x:f>
      </x:c>
      <x:c r="M254" s="9" t="str">
        <x:f>IF($E254="","",IFERROR(INDEX('계정과목'!$C$6:$C$56,MATCH($E254,'계정과목'!$A$6:$A$56,0)),""))</x:f>
      </x:c>
      <x:c r="N254" s="9" t="str">
        <x:f>IF($E254="","",IFERROR(INDEX('계정과목'!$D$6:$D$56,MATCH($E254,'계정과목'!$A$6:$A$56,0)),""))</x:f>
      </x:c>
      <x:c r="O254" s="9" t="str">
        <x:f>IF($E254="","",IF(COUNTIF('계정과목'!$A$6:$A$56,$E254)=0,"미등록","정상"))</x:f>
      </x:c>
      <x:c r="P254" s="14" t="str">
        <x:f>IF($A254="","",ROUND(SUMIFS('전표'!$F$7:$F$306,'전표'!$A$7:$A$306,$A254)-SUMIFS('전표'!$G$7:$G$306,'전표'!$A$7:$A$306,$A254),0))</x:f>
      </x:c>
      <x:c r="Q254" s="14" t="n">
        <x:f>IF(ISNUMBER($P254),IF(ABS($P254)&gt;=1,1,0),0)</x:f>
        <x:v>0</x:v>
      </x:c>
    </x:row>
    <x:row r="255">
      <x:c r="A255" s="7"/>
      <x:c r="B255" s="11"/>
      <x:c r="C255" s="7"/>
      <x:c r="D255" s="7"/>
      <x:c r="E255" s="7"/>
      <x:c r="F255" s="13"/>
      <x:c r="G255" s="13"/>
      <x:c r="H255" s="13"/>
      <x:c r="I255" s="7"/>
      <x:c r="J255" s="7"/>
      <x:c r="K255" s="9" t="str">
        <x:f>IF($B255="","",TEXT($B255,"yyyy-mm"))</x:f>
      </x:c>
      <x:c r="L255" s="9" t="str">
        <x:f>IF($E255="","",IFERROR(INDEX('계정과목'!$B$6:$B$56,MATCH($E255,'계정과목'!$A$6:$A$56,0)),"미등록"))</x:f>
      </x:c>
      <x:c r="M255" s="9" t="str">
        <x:f>IF($E255="","",IFERROR(INDEX('계정과목'!$C$6:$C$56,MATCH($E255,'계정과목'!$A$6:$A$56,0)),""))</x:f>
      </x:c>
      <x:c r="N255" s="9" t="str">
        <x:f>IF($E255="","",IFERROR(INDEX('계정과목'!$D$6:$D$56,MATCH($E255,'계정과목'!$A$6:$A$56,0)),""))</x:f>
      </x:c>
      <x:c r="O255" s="9" t="str">
        <x:f>IF($E255="","",IF(COUNTIF('계정과목'!$A$6:$A$56,$E255)=0,"미등록","정상"))</x:f>
      </x:c>
      <x:c r="P255" s="14" t="str">
        <x:f>IF($A255="","",ROUND(SUMIFS('전표'!$F$7:$F$306,'전표'!$A$7:$A$306,$A255)-SUMIFS('전표'!$G$7:$G$306,'전표'!$A$7:$A$306,$A255),0))</x:f>
      </x:c>
      <x:c r="Q255" s="14" t="n">
        <x:f>IF(ISNUMBER($P255),IF(ABS($P255)&gt;=1,1,0),0)</x:f>
        <x:v>0</x:v>
      </x:c>
    </x:row>
    <x:row r="256">
      <x:c r="A256" s="7"/>
      <x:c r="B256" s="11"/>
      <x:c r="C256" s="7"/>
      <x:c r="D256" s="7"/>
      <x:c r="E256" s="7"/>
      <x:c r="F256" s="13"/>
      <x:c r="G256" s="13"/>
      <x:c r="H256" s="13"/>
      <x:c r="I256" s="7"/>
      <x:c r="J256" s="7"/>
      <x:c r="K256" s="9" t="str">
        <x:f>IF($B256="","",TEXT($B256,"yyyy-mm"))</x:f>
      </x:c>
      <x:c r="L256" s="9" t="str">
        <x:f>IF($E256="","",IFERROR(INDEX('계정과목'!$B$6:$B$56,MATCH($E256,'계정과목'!$A$6:$A$56,0)),"미등록"))</x:f>
      </x:c>
      <x:c r="M256" s="9" t="str">
        <x:f>IF($E256="","",IFERROR(INDEX('계정과목'!$C$6:$C$56,MATCH($E256,'계정과목'!$A$6:$A$56,0)),""))</x:f>
      </x:c>
      <x:c r="N256" s="9" t="str">
        <x:f>IF($E256="","",IFERROR(INDEX('계정과목'!$D$6:$D$56,MATCH($E256,'계정과목'!$A$6:$A$56,0)),""))</x:f>
      </x:c>
      <x:c r="O256" s="9" t="str">
        <x:f>IF($E256="","",IF(COUNTIF('계정과목'!$A$6:$A$56,$E256)=0,"미등록","정상"))</x:f>
      </x:c>
      <x:c r="P256" s="14" t="str">
        <x:f>IF($A256="","",ROUND(SUMIFS('전표'!$F$7:$F$306,'전표'!$A$7:$A$306,$A256)-SUMIFS('전표'!$G$7:$G$306,'전표'!$A$7:$A$306,$A256),0))</x:f>
      </x:c>
      <x:c r="Q256" s="14" t="n">
        <x:f>IF(ISNUMBER($P256),IF(ABS($P256)&gt;=1,1,0),0)</x:f>
        <x:v>0</x:v>
      </x:c>
    </x:row>
    <x:row r="257">
      <x:c r="A257" s="7"/>
      <x:c r="B257" s="11"/>
      <x:c r="C257" s="7"/>
      <x:c r="D257" s="7"/>
      <x:c r="E257" s="7"/>
      <x:c r="F257" s="13"/>
      <x:c r="G257" s="13"/>
      <x:c r="H257" s="13"/>
      <x:c r="I257" s="7"/>
      <x:c r="J257" s="7"/>
      <x:c r="K257" s="9" t="str">
        <x:f>IF($B257="","",TEXT($B257,"yyyy-mm"))</x:f>
      </x:c>
      <x:c r="L257" s="9" t="str">
        <x:f>IF($E257="","",IFERROR(INDEX('계정과목'!$B$6:$B$56,MATCH($E257,'계정과목'!$A$6:$A$56,0)),"미등록"))</x:f>
      </x:c>
      <x:c r="M257" s="9" t="str">
        <x:f>IF($E257="","",IFERROR(INDEX('계정과목'!$C$6:$C$56,MATCH($E257,'계정과목'!$A$6:$A$56,0)),""))</x:f>
      </x:c>
      <x:c r="N257" s="9" t="str">
        <x:f>IF($E257="","",IFERROR(INDEX('계정과목'!$D$6:$D$56,MATCH($E257,'계정과목'!$A$6:$A$56,0)),""))</x:f>
      </x:c>
      <x:c r="O257" s="9" t="str">
        <x:f>IF($E257="","",IF(COUNTIF('계정과목'!$A$6:$A$56,$E257)=0,"미등록","정상"))</x:f>
      </x:c>
      <x:c r="P257" s="14" t="str">
        <x:f>IF($A257="","",ROUND(SUMIFS('전표'!$F$7:$F$306,'전표'!$A$7:$A$306,$A257)-SUMIFS('전표'!$G$7:$G$306,'전표'!$A$7:$A$306,$A257),0))</x:f>
      </x:c>
      <x:c r="Q257" s="14" t="n">
        <x:f>IF(ISNUMBER($P257),IF(ABS($P257)&gt;=1,1,0),0)</x:f>
        <x:v>0</x:v>
      </x:c>
    </x:row>
    <x:row r="258">
      <x:c r="A258" s="7"/>
      <x:c r="B258" s="11"/>
      <x:c r="C258" s="7"/>
      <x:c r="D258" s="7"/>
      <x:c r="E258" s="7"/>
      <x:c r="F258" s="13"/>
      <x:c r="G258" s="13"/>
      <x:c r="H258" s="13"/>
      <x:c r="I258" s="7"/>
      <x:c r="J258" s="7"/>
      <x:c r="K258" s="9" t="str">
        <x:f>IF($B258="","",TEXT($B258,"yyyy-mm"))</x:f>
      </x:c>
      <x:c r="L258" s="9" t="str">
        <x:f>IF($E258="","",IFERROR(INDEX('계정과목'!$B$6:$B$56,MATCH($E258,'계정과목'!$A$6:$A$56,0)),"미등록"))</x:f>
      </x:c>
      <x:c r="M258" s="9" t="str">
        <x:f>IF($E258="","",IFERROR(INDEX('계정과목'!$C$6:$C$56,MATCH($E258,'계정과목'!$A$6:$A$56,0)),""))</x:f>
      </x:c>
      <x:c r="N258" s="9" t="str">
        <x:f>IF($E258="","",IFERROR(INDEX('계정과목'!$D$6:$D$56,MATCH($E258,'계정과목'!$A$6:$A$56,0)),""))</x:f>
      </x:c>
      <x:c r="O258" s="9" t="str">
        <x:f>IF($E258="","",IF(COUNTIF('계정과목'!$A$6:$A$56,$E258)=0,"미등록","정상"))</x:f>
      </x:c>
      <x:c r="P258" s="14" t="str">
        <x:f>IF($A258="","",ROUND(SUMIFS('전표'!$F$7:$F$306,'전표'!$A$7:$A$306,$A258)-SUMIFS('전표'!$G$7:$G$306,'전표'!$A$7:$A$306,$A258),0))</x:f>
      </x:c>
      <x:c r="Q258" s="14" t="n">
        <x:f>IF(ISNUMBER($P258),IF(ABS($P258)&gt;=1,1,0),0)</x:f>
        <x:v>0</x:v>
      </x:c>
    </x:row>
    <x:row r="259">
      <x:c r="A259" s="7"/>
      <x:c r="B259" s="11"/>
      <x:c r="C259" s="7"/>
      <x:c r="D259" s="7"/>
      <x:c r="E259" s="7"/>
      <x:c r="F259" s="13"/>
      <x:c r="G259" s="13"/>
      <x:c r="H259" s="13"/>
      <x:c r="I259" s="7"/>
      <x:c r="J259" s="7"/>
      <x:c r="K259" s="9" t="str">
        <x:f>IF($B259="","",TEXT($B259,"yyyy-mm"))</x:f>
      </x:c>
      <x:c r="L259" s="9" t="str">
        <x:f>IF($E259="","",IFERROR(INDEX('계정과목'!$B$6:$B$56,MATCH($E259,'계정과목'!$A$6:$A$56,0)),"미등록"))</x:f>
      </x:c>
      <x:c r="M259" s="9" t="str">
        <x:f>IF($E259="","",IFERROR(INDEX('계정과목'!$C$6:$C$56,MATCH($E259,'계정과목'!$A$6:$A$56,0)),""))</x:f>
      </x:c>
      <x:c r="N259" s="9" t="str">
        <x:f>IF($E259="","",IFERROR(INDEX('계정과목'!$D$6:$D$56,MATCH($E259,'계정과목'!$A$6:$A$56,0)),""))</x:f>
      </x:c>
      <x:c r="O259" s="9" t="str">
        <x:f>IF($E259="","",IF(COUNTIF('계정과목'!$A$6:$A$56,$E259)=0,"미등록","정상"))</x:f>
      </x:c>
      <x:c r="P259" s="14" t="str">
        <x:f>IF($A259="","",ROUND(SUMIFS('전표'!$F$7:$F$306,'전표'!$A$7:$A$306,$A259)-SUMIFS('전표'!$G$7:$G$306,'전표'!$A$7:$A$306,$A259),0))</x:f>
      </x:c>
      <x:c r="Q259" s="14" t="n">
        <x:f>IF(ISNUMBER($P259),IF(ABS($P259)&gt;=1,1,0),0)</x:f>
        <x:v>0</x:v>
      </x:c>
    </x:row>
    <x:row r="260">
      <x:c r="A260" s="7"/>
      <x:c r="B260" s="11"/>
      <x:c r="C260" s="7"/>
      <x:c r="D260" s="7"/>
      <x:c r="E260" s="7"/>
      <x:c r="F260" s="13"/>
      <x:c r="G260" s="13"/>
      <x:c r="H260" s="13"/>
      <x:c r="I260" s="7"/>
      <x:c r="J260" s="7"/>
      <x:c r="K260" s="9" t="str">
        <x:f>IF($B260="","",TEXT($B260,"yyyy-mm"))</x:f>
      </x:c>
      <x:c r="L260" s="9" t="str">
        <x:f>IF($E260="","",IFERROR(INDEX('계정과목'!$B$6:$B$56,MATCH($E260,'계정과목'!$A$6:$A$56,0)),"미등록"))</x:f>
      </x:c>
      <x:c r="M260" s="9" t="str">
        <x:f>IF($E260="","",IFERROR(INDEX('계정과목'!$C$6:$C$56,MATCH($E260,'계정과목'!$A$6:$A$56,0)),""))</x:f>
      </x:c>
      <x:c r="N260" s="9" t="str">
        <x:f>IF($E260="","",IFERROR(INDEX('계정과목'!$D$6:$D$56,MATCH($E260,'계정과목'!$A$6:$A$56,0)),""))</x:f>
      </x:c>
      <x:c r="O260" s="9" t="str">
        <x:f>IF($E260="","",IF(COUNTIF('계정과목'!$A$6:$A$56,$E260)=0,"미등록","정상"))</x:f>
      </x:c>
      <x:c r="P260" s="14" t="str">
        <x:f>IF($A260="","",ROUND(SUMIFS('전표'!$F$7:$F$306,'전표'!$A$7:$A$306,$A260)-SUMIFS('전표'!$G$7:$G$306,'전표'!$A$7:$A$306,$A260),0))</x:f>
      </x:c>
      <x:c r="Q260" s="14" t="n">
        <x:f>IF(ISNUMBER($P260),IF(ABS($P260)&gt;=1,1,0),0)</x:f>
        <x:v>0</x:v>
      </x:c>
    </x:row>
    <x:row r="261">
      <x:c r="A261" s="7"/>
      <x:c r="B261" s="11"/>
      <x:c r="C261" s="7"/>
      <x:c r="D261" s="7"/>
      <x:c r="E261" s="7"/>
      <x:c r="F261" s="13"/>
      <x:c r="G261" s="13"/>
      <x:c r="H261" s="13"/>
      <x:c r="I261" s="7"/>
      <x:c r="J261" s="7"/>
      <x:c r="K261" s="9" t="str">
        <x:f>IF($B261="","",TEXT($B261,"yyyy-mm"))</x:f>
      </x:c>
      <x:c r="L261" s="9" t="str">
        <x:f>IF($E261="","",IFERROR(INDEX('계정과목'!$B$6:$B$56,MATCH($E261,'계정과목'!$A$6:$A$56,0)),"미등록"))</x:f>
      </x:c>
      <x:c r="M261" s="9" t="str">
        <x:f>IF($E261="","",IFERROR(INDEX('계정과목'!$C$6:$C$56,MATCH($E261,'계정과목'!$A$6:$A$56,0)),""))</x:f>
      </x:c>
      <x:c r="N261" s="9" t="str">
        <x:f>IF($E261="","",IFERROR(INDEX('계정과목'!$D$6:$D$56,MATCH($E261,'계정과목'!$A$6:$A$56,0)),""))</x:f>
      </x:c>
      <x:c r="O261" s="9" t="str">
        <x:f>IF($E261="","",IF(COUNTIF('계정과목'!$A$6:$A$56,$E261)=0,"미등록","정상"))</x:f>
      </x:c>
      <x:c r="P261" s="14" t="str">
        <x:f>IF($A261="","",ROUND(SUMIFS('전표'!$F$7:$F$306,'전표'!$A$7:$A$306,$A261)-SUMIFS('전표'!$G$7:$G$306,'전표'!$A$7:$A$306,$A261),0))</x:f>
      </x:c>
      <x:c r="Q261" s="14" t="n">
        <x:f>IF(ISNUMBER($P261),IF(ABS($P261)&gt;=1,1,0),0)</x:f>
        <x:v>0</x:v>
      </x:c>
    </x:row>
    <x:row r="262">
      <x:c r="A262" s="7"/>
      <x:c r="B262" s="11"/>
      <x:c r="C262" s="7"/>
      <x:c r="D262" s="7"/>
      <x:c r="E262" s="7"/>
      <x:c r="F262" s="13"/>
      <x:c r="G262" s="13"/>
      <x:c r="H262" s="13"/>
      <x:c r="I262" s="7"/>
      <x:c r="J262" s="7"/>
      <x:c r="K262" s="9" t="str">
        <x:f>IF($B262="","",TEXT($B262,"yyyy-mm"))</x:f>
      </x:c>
      <x:c r="L262" s="9" t="str">
        <x:f>IF($E262="","",IFERROR(INDEX('계정과목'!$B$6:$B$56,MATCH($E262,'계정과목'!$A$6:$A$56,0)),"미등록"))</x:f>
      </x:c>
      <x:c r="M262" s="9" t="str">
        <x:f>IF($E262="","",IFERROR(INDEX('계정과목'!$C$6:$C$56,MATCH($E262,'계정과목'!$A$6:$A$56,0)),""))</x:f>
      </x:c>
      <x:c r="N262" s="9" t="str">
        <x:f>IF($E262="","",IFERROR(INDEX('계정과목'!$D$6:$D$56,MATCH($E262,'계정과목'!$A$6:$A$56,0)),""))</x:f>
      </x:c>
      <x:c r="O262" s="9" t="str">
        <x:f>IF($E262="","",IF(COUNTIF('계정과목'!$A$6:$A$56,$E262)=0,"미등록","정상"))</x:f>
      </x:c>
      <x:c r="P262" s="14" t="str">
        <x:f>IF($A262="","",ROUND(SUMIFS('전표'!$F$7:$F$306,'전표'!$A$7:$A$306,$A262)-SUMIFS('전표'!$G$7:$G$306,'전표'!$A$7:$A$306,$A262),0))</x:f>
      </x:c>
      <x:c r="Q262" s="14" t="n">
        <x:f>IF(ISNUMBER($P262),IF(ABS($P262)&gt;=1,1,0),0)</x:f>
        <x:v>0</x:v>
      </x:c>
    </x:row>
    <x:row r="263">
      <x:c r="A263" s="7"/>
      <x:c r="B263" s="11"/>
      <x:c r="C263" s="7"/>
      <x:c r="D263" s="7"/>
      <x:c r="E263" s="7"/>
      <x:c r="F263" s="13"/>
      <x:c r="G263" s="13"/>
      <x:c r="H263" s="13"/>
      <x:c r="I263" s="7"/>
      <x:c r="J263" s="7"/>
      <x:c r="K263" s="9" t="str">
        <x:f>IF($B263="","",TEXT($B263,"yyyy-mm"))</x:f>
      </x:c>
      <x:c r="L263" s="9" t="str">
        <x:f>IF($E263="","",IFERROR(INDEX('계정과목'!$B$6:$B$56,MATCH($E263,'계정과목'!$A$6:$A$56,0)),"미등록"))</x:f>
      </x:c>
      <x:c r="M263" s="9" t="str">
        <x:f>IF($E263="","",IFERROR(INDEX('계정과목'!$C$6:$C$56,MATCH($E263,'계정과목'!$A$6:$A$56,0)),""))</x:f>
      </x:c>
      <x:c r="N263" s="9" t="str">
        <x:f>IF($E263="","",IFERROR(INDEX('계정과목'!$D$6:$D$56,MATCH($E263,'계정과목'!$A$6:$A$56,0)),""))</x:f>
      </x:c>
      <x:c r="O263" s="9" t="str">
        <x:f>IF($E263="","",IF(COUNTIF('계정과목'!$A$6:$A$56,$E263)=0,"미등록","정상"))</x:f>
      </x:c>
      <x:c r="P263" s="14" t="str">
        <x:f>IF($A263="","",ROUND(SUMIFS('전표'!$F$7:$F$306,'전표'!$A$7:$A$306,$A263)-SUMIFS('전표'!$G$7:$G$306,'전표'!$A$7:$A$306,$A263),0))</x:f>
      </x:c>
      <x:c r="Q263" s="14" t="n">
        <x:f>IF(ISNUMBER($P263),IF(ABS($P263)&gt;=1,1,0),0)</x:f>
        <x:v>0</x:v>
      </x:c>
    </x:row>
    <x:row r="264">
      <x:c r="A264" s="7"/>
      <x:c r="B264" s="11"/>
      <x:c r="C264" s="7"/>
      <x:c r="D264" s="7"/>
      <x:c r="E264" s="7"/>
      <x:c r="F264" s="13"/>
      <x:c r="G264" s="13"/>
      <x:c r="H264" s="13"/>
      <x:c r="I264" s="7"/>
      <x:c r="J264" s="7"/>
      <x:c r="K264" s="9" t="str">
        <x:f>IF($B264="","",TEXT($B264,"yyyy-mm"))</x:f>
      </x:c>
      <x:c r="L264" s="9" t="str">
        <x:f>IF($E264="","",IFERROR(INDEX('계정과목'!$B$6:$B$56,MATCH($E264,'계정과목'!$A$6:$A$56,0)),"미등록"))</x:f>
      </x:c>
      <x:c r="M264" s="9" t="str">
        <x:f>IF($E264="","",IFERROR(INDEX('계정과목'!$C$6:$C$56,MATCH($E264,'계정과목'!$A$6:$A$56,0)),""))</x:f>
      </x:c>
      <x:c r="N264" s="9" t="str">
        <x:f>IF($E264="","",IFERROR(INDEX('계정과목'!$D$6:$D$56,MATCH($E264,'계정과목'!$A$6:$A$56,0)),""))</x:f>
      </x:c>
      <x:c r="O264" s="9" t="str">
        <x:f>IF($E264="","",IF(COUNTIF('계정과목'!$A$6:$A$56,$E264)=0,"미등록","정상"))</x:f>
      </x:c>
      <x:c r="P264" s="14" t="str">
        <x:f>IF($A264="","",ROUND(SUMIFS('전표'!$F$7:$F$306,'전표'!$A$7:$A$306,$A264)-SUMIFS('전표'!$G$7:$G$306,'전표'!$A$7:$A$306,$A264),0))</x:f>
      </x:c>
      <x:c r="Q264" s="14" t="n">
        <x:f>IF(ISNUMBER($P264),IF(ABS($P264)&gt;=1,1,0),0)</x:f>
        <x:v>0</x:v>
      </x:c>
    </x:row>
    <x:row r="265">
      <x:c r="A265" s="7"/>
      <x:c r="B265" s="11"/>
      <x:c r="C265" s="7"/>
      <x:c r="D265" s="7"/>
      <x:c r="E265" s="7"/>
      <x:c r="F265" s="13"/>
      <x:c r="G265" s="13"/>
      <x:c r="H265" s="13"/>
      <x:c r="I265" s="7"/>
      <x:c r="J265" s="7"/>
      <x:c r="K265" s="9" t="str">
        <x:f>IF($B265="","",TEXT($B265,"yyyy-mm"))</x:f>
      </x:c>
      <x:c r="L265" s="9" t="str">
        <x:f>IF($E265="","",IFERROR(INDEX('계정과목'!$B$6:$B$56,MATCH($E265,'계정과목'!$A$6:$A$56,0)),"미등록"))</x:f>
      </x:c>
      <x:c r="M265" s="9" t="str">
        <x:f>IF($E265="","",IFERROR(INDEX('계정과목'!$C$6:$C$56,MATCH($E265,'계정과목'!$A$6:$A$56,0)),""))</x:f>
      </x:c>
      <x:c r="N265" s="9" t="str">
        <x:f>IF($E265="","",IFERROR(INDEX('계정과목'!$D$6:$D$56,MATCH($E265,'계정과목'!$A$6:$A$56,0)),""))</x:f>
      </x:c>
      <x:c r="O265" s="9" t="str">
        <x:f>IF($E265="","",IF(COUNTIF('계정과목'!$A$6:$A$56,$E265)=0,"미등록","정상"))</x:f>
      </x:c>
      <x:c r="P265" s="14" t="str">
        <x:f>IF($A265="","",ROUND(SUMIFS('전표'!$F$7:$F$306,'전표'!$A$7:$A$306,$A265)-SUMIFS('전표'!$G$7:$G$306,'전표'!$A$7:$A$306,$A265),0))</x:f>
      </x:c>
      <x:c r="Q265" s="14" t="n">
        <x:f>IF(ISNUMBER($P265),IF(ABS($P265)&gt;=1,1,0),0)</x:f>
        <x:v>0</x:v>
      </x:c>
    </x:row>
    <x:row r="266">
      <x:c r="A266" s="7"/>
      <x:c r="B266" s="11"/>
      <x:c r="C266" s="7"/>
      <x:c r="D266" s="7"/>
      <x:c r="E266" s="7"/>
      <x:c r="F266" s="13"/>
      <x:c r="G266" s="13"/>
      <x:c r="H266" s="13"/>
      <x:c r="I266" s="7"/>
      <x:c r="J266" s="7"/>
      <x:c r="K266" s="9" t="str">
        <x:f>IF($B266="","",TEXT($B266,"yyyy-mm"))</x:f>
      </x:c>
      <x:c r="L266" s="9" t="str">
        <x:f>IF($E266="","",IFERROR(INDEX('계정과목'!$B$6:$B$56,MATCH($E266,'계정과목'!$A$6:$A$56,0)),"미등록"))</x:f>
      </x:c>
      <x:c r="M266" s="9" t="str">
        <x:f>IF($E266="","",IFERROR(INDEX('계정과목'!$C$6:$C$56,MATCH($E266,'계정과목'!$A$6:$A$56,0)),""))</x:f>
      </x:c>
      <x:c r="N266" s="9" t="str">
        <x:f>IF($E266="","",IFERROR(INDEX('계정과목'!$D$6:$D$56,MATCH($E266,'계정과목'!$A$6:$A$56,0)),""))</x:f>
      </x:c>
      <x:c r="O266" s="9" t="str">
        <x:f>IF($E266="","",IF(COUNTIF('계정과목'!$A$6:$A$56,$E266)=0,"미등록","정상"))</x:f>
      </x:c>
      <x:c r="P266" s="14" t="str">
        <x:f>IF($A266="","",ROUND(SUMIFS('전표'!$F$7:$F$306,'전표'!$A$7:$A$306,$A266)-SUMIFS('전표'!$G$7:$G$306,'전표'!$A$7:$A$306,$A266),0))</x:f>
      </x:c>
      <x:c r="Q266" s="14" t="n">
        <x:f>IF(ISNUMBER($P266),IF(ABS($P266)&gt;=1,1,0),0)</x:f>
        <x:v>0</x:v>
      </x:c>
    </x:row>
    <x:row r="267">
      <x:c r="A267" s="7"/>
      <x:c r="B267" s="11"/>
      <x:c r="C267" s="7"/>
      <x:c r="D267" s="7"/>
      <x:c r="E267" s="7"/>
      <x:c r="F267" s="13"/>
      <x:c r="G267" s="13"/>
      <x:c r="H267" s="13"/>
      <x:c r="I267" s="7"/>
      <x:c r="J267" s="7"/>
      <x:c r="K267" s="9" t="str">
        <x:f>IF($B267="","",TEXT($B267,"yyyy-mm"))</x:f>
      </x:c>
      <x:c r="L267" s="9" t="str">
        <x:f>IF($E267="","",IFERROR(INDEX('계정과목'!$B$6:$B$56,MATCH($E267,'계정과목'!$A$6:$A$56,0)),"미등록"))</x:f>
      </x:c>
      <x:c r="M267" s="9" t="str">
        <x:f>IF($E267="","",IFERROR(INDEX('계정과목'!$C$6:$C$56,MATCH($E267,'계정과목'!$A$6:$A$56,0)),""))</x:f>
      </x:c>
      <x:c r="N267" s="9" t="str">
        <x:f>IF($E267="","",IFERROR(INDEX('계정과목'!$D$6:$D$56,MATCH($E267,'계정과목'!$A$6:$A$56,0)),""))</x:f>
      </x:c>
      <x:c r="O267" s="9" t="str">
        <x:f>IF($E267="","",IF(COUNTIF('계정과목'!$A$6:$A$56,$E267)=0,"미등록","정상"))</x:f>
      </x:c>
      <x:c r="P267" s="14" t="str">
        <x:f>IF($A267="","",ROUND(SUMIFS('전표'!$F$7:$F$306,'전표'!$A$7:$A$306,$A267)-SUMIFS('전표'!$G$7:$G$306,'전표'!$A$7:$A$306,$A267),0))</x:f>
      </x:c>
      <x:c r="Q267" s="14" t="n">
        <x:f>IF(ISNUMBER($P267),IF(ABS($P267)&gt;=1,1,0),0)</x:f>
        <x:v>0</x:v>
      </x:c>
    </x:row>
    <x:row r="268">
      <x:c r="A268" s="7"/>
      <x:c r="B268" s="11"/>
      <x:c r="C268" s="7"/>
      <x:c r="D268" s="7"/>
      <x:c r="E268" s="7"/>
      <x:c r="F268" s="13"/>
      <x:c r="G268" s="13"/>
      <x:c r="H268" s="13"/>
      <x:c r="I268" s="7"/>
      <x:c r="J268" s="7"/>
      <x:c r="K268" s="9" t="str">
        <x:f>IF($B268="","",TEXT($B268,"yyyy-mm"))</x:f>
      </x:c>
      <x:c r="L268" s="9" t="str">
        <x:f>IF($E268="","",IFERROR(INDEX('계정과목'!$B$6:$B$56,MATCH($E268,'계정과목'!$A$6:$A$56,0)),"미등록"))</x:f>
      </x:c>
      <x:c r="M268" s="9" t="str">
        <x:f>IF($E268="","",IFERROR(INDEX('계정과목'!$C$6:$C$56,MATCH($E268,'계정과목'!$A$6:$A$56,0)),""))</x:f>
      </x:c>
      <x:c r="N268" s="9" t="str">
        <x:f>IF($E268="","",IFERROR(INDEX('계정과목'!$D$6:$D$56,MATCH($E268,'계정과목'!$A$6:$A$56,0)),""))</x:f>
      </x:c>
      <x:c r="O268" s="9" t="str">
        <x:f>IF($E268="","",IF(COUNTIF('계정과목'!$A$6:$A$56,$E268)=0,"미등록","정상"))</x:f>
      </x:c>
      <x:c r="P268" s="14" t="str">
        <x:f>IF($A268="","",ROUND(SUMIFS('전표'!$F$7:$F$306,'전표'!$A$7:$A$306,$A268)-SUMIFS('전표'!$G$7:$G$306,'전표'!$A$7:$A$306,$A268),0))</x:f>
      </x:c>
      <x:c r="Q268" s="14" t="n">
        <x:f>IF(ISNUMBER($P268),IF(ABS($P268)&gt;=1,1,0),0)</x:f>
        <x:v>0</x:v>
      </x:c>
    </x:row>
    <x:row r="269">
      <x:c r="A269" s="7"/>
      <x:c r="B269" s="11"/>
      <x:c r="C269" s="7"/>
      <x:c r="D269" s="7"/>
      <x:c r="E269" s="7"/>
      <x:c r="F269" s="13"/>
      <x:c r="G269" s="13"/>
      <x:c r="H269" s="13"/>
      <x:c r="I269" s="7"/>
      <x:c r="J269" s="7"/>
      <x:c r="K269" s="9" t="str">
        <x:f>IF($B269="","",TEXT($B269,"yyyy-mm"))</x:f>
      </x:c>
      <x:c r="L269" s="9" t="str">
        <x:f>IF($E269="","",IFERROR(INDEX('계정과목'!$B$6:$B$56,MATCH($E269,'계정과목'!$A$6:$A$56,0)),"미등록"))</x:f>
      </x:c>
      <x:c r="M269" s="9" t="str">
        <x:f>IF($E269="","",IFERROR(INDEX('계정과목'!$C$6:$C$56,MATCH($E269,'계정과목'!$A$6:$A$56,0)),""))</x:f>
      </x:c>
      <x:c r="N269" s="9" t="str">
        <x:f>IF($E269="","",IFERROR(INDEX('계정과목'!$D$6:$D$56,MATCH($E269,'계정과목'!$A$6:$A$56,0)),""))</x:f>
      </x:c>
      <x:c r="O269" s="9" t="str">
        <x:f>IF($E269="","",IF(COUNTIF('계정과목'!$A$6:$A$56,$E269)=0,"미등록","정상"))</x:f>
      </x:c>
      <x:c r="P269" s="14" t="str">
        <x:f>IF($A269="","",ROUND(SUMIFS('전표'!$F$7:$F$306,'전표'!$A$7:$A$306,$A269)-SUMIFS('전표'!$G$7:$G$306,'전표'!$A$7:$A$306,$A269),0))</x:f>
      </x:c>
      <x:c r="Q269" s="14" t="n">
        <x:f>IF(ISNUMBER($P269),IF(ABS($P269)&gt;=1,1,0),0)</x:f>
        <x:v>0</x:v>
      </x:c>
    </x:row>
    <x:row r="270">
      <x:c r="A270" s="7"/>
      <x:c r="B270" s="11"/>
      <x:c r="C270" s="7"/>
      <x:c r="D270" s="7"/>
      <x:c r="E270" s="7"/>
      <x:c r="F270" s="13"/>
      <x:c r="G270" s="13"/>
      <x:c r="H270" s="13"/>
      <x:c r="I270" s="7"/>
      <x:c r="J270" s="7"/>
      <x:c r="K270" s="9" t="str">
        <x:f>IF($B270="","",TEXT($B270,"yyyy-mm"))</x:f>
      </x:c>
      <x:c r="L270" s="9" t="str">
        <x:f>IF($E270="","",IFERROR(INDEX('계정과목'!$B$6:$B$56,MATCH($E270,'계정과목'!$A$6:$A$56,0)),"미등록"))</x:f>
      </x:c>
      <x:c r="M270" s="9" t="str">
        <x:f>IF($E270="","",IFERROR(INDEX('계정과목'!$C$6:$C$56,MATCH($E270,'계정과목'!$A$6:$A$56,0)),""))</x:f>
      </x:c>
      <x:c r="N270" s="9" t="str">
        <x:f>IF($E270="","",IFERROR(INDEX('계정과목'!$D$6:$D$56,MATCH($E270,'계정과목'!$A$6:$A$56,0)),""))</x:f>
      </x:c>
      <x:c r="O270" s="9" t="str">
        <x:f>IF($E270="","",IF(COUNTIF('계정과목'!$A$6:$A$56,$E270)=0,"미등록","정상"))</x:f>
      </x:c>
      <x:c r="P270" s="14" t="str">
        <x:f>IF($A270="","",ROUND(SUMIFS('전표'!$F$7:$F$306,'전표'!$A$7:$A$306,$A270)-SUMIFS('전표'!$G$7:$G$306,'전표'!$A$7:$A$306,$A270),0))</x:f>
      </x:c>
      <x:c r="Q270" s="14" t="n">
        <x:f>IF(ISNUMBER($P270),IF(ABS($P270)&gt;=1,1,0),0)</x:f>
        <x:v>0</x:v>
      </x:c>
    </x:row>
    <x:row r="271">
      <x:c r="A271" s="7"/>
      <x:c r="B271" s="11"/>
      <x:c r="C271" s="7"/>
      <x:c r="D271" s="7"/>
      <x:c r="E271" s="7"/>
      <x:c r="F271" s="13"/>
      <x:c r="G271" s="13"/>
      <x:c r="H271" s="13"/>
      <x:c r="I271" s="7"/>
      <x:c r="J271" s="7"/>
      <x:c r="K271" s="9" t="str">
        <x:f>IF($B271="","",TEXT($B271,"yyyy-mm"))</x:f>
      </x:c>
      <x:c r="L271" s="9" t="str">
        <x:f>IF($E271="","",IFERROR(INDEX('계정과목'!$B$6:$B$56,MATCH($E271,'계정과목'!$A$6:$A$56,0)),"미등록"))</x:f>
      </x:c>
      <x:c r="M271" s="9" t="str">
        <x:f>IF($E271="","",IFERROR(INDEX('계정과목'!$C$6:$C$56,MATCH($E271,'계정과목'!$A$6:$A$56,0)),""))</x:f>
      </x:c>
      <x:c r="N271" s="9" t="str">
        <x:f>IF($E271="","",IFERROR(INDEX('계정과목'!$D$6:$D$56,MATCH($E271,'계정과목'!$A$6:$A$56,0)),""))</x:f>
      </x:c>
      <x:c r="O271" s="9" t="str">
        <x:f>IF($E271="","",IF(COUNTIF('계정과목'!$A$6:$A$56,$E271)=0,"미등록","정상"))</x:f>
      </x:c>
      <x:c r="P271" s="14" t="str">
        <x:f>IF($A271="","",ROUND(SUMIFS('전표'!$F$7:$F$306,'전표'!$A$7:$A$306,$A271)-SUMIFS('전표'!$G$7:$G$306,'전표'!$A$7:$A$306,$A271),0))</x:f>
      </x:c>
      <x:c r="Q271" s="14" t="n">
        <x:f>IF(ISNUMBER($P271),IF(ABS($P271)&gt;=1,1,0),0)</x:f>
        <x:v>0</x:v>
      </x:c>
    </x:row>
    <x:row r="272">
      <x:c r="A272" s="7"/>
      <x:c r="B272" s="11"/>
      <x:c r="C272" s="7"/>
      <x:c r="D272" s="7"/>
      <x:c r="E272" s="7"/>
      <x:c r="F272" s="13"/>
      <x:c r="G272" s="13"/>
      <x:c r="H272" s="13"/>
      <x:c r="I272" s="7"/>
      <x:c r="J272" s="7"/>
      <x:c r="K272" s="9" t="str">
        <x:f>IF($B272="","",TEXT($B272,"yyyy-mm"))</x:f>
      </x:c>
      <x:c r="L272" s="9" t="str">
        <x:f>IF($E272="","",IFERROR(INDEX('계정과목'!$B$6:$B$56,MATCH($E272,'계정과목'!$A$6:$A$56,0)),"미등록"))</x:f>
      </x:c>
      <x:c r="M272" s="9" t="str">
        <x:f>IF($E272="","",IFERROR(INDEX('계정과목'!$C$6:$C$56,MATCH($E272,'계정과목'!$A$6:$A$56,0)),""))</x:f>
      </x:c>
      <x:c r="N272" s="9" t="str">
        <x:f>IF($E272="","",IFERROR(INDEX('계정과목'!$D$6:$D$56,MATCH($E272,'계정과목'!$A$6:$A$56,0)),""))</x:f>
      </x:c>
      <x:c r="O272" s="9" t="str">
        <x:f>IF($E272="","",IF(COUNTIF('계정과목'!$A$6:$A$56,$E272)=0,"미등록","정상"))</x:f>
      </x:c>
      <x:c r="P272" s="14" t="str">
        <x:f>IF($A272="","",ROUND(SUMIFS('전표'!$F$7:$F$306,'전표'!$A$7:$A$306,$A272)-SUMIFS('전표'!$G$7:$G$306,'전표'!$A$7:$A$306,$A272),0))</x:f>
      </x:c>
      <x:c r="Q272" s="14" t="n">
        <x:f>IF(ISNUMBER($P272),IF(ABS($P272)&gt;=1,1,0),0)</x:f>
        <x:v>0</x:v>
      </x:c>
    </x:row>
    <x:row r="273">
      <x:c r="A273" s="7"/>
      <x:c r="B273" s="11"/>
      <x:c r="C273" s="7"/>
      <x:c r="D273" s="7"/>
      <x:c r="E273" s="7"/>
      <x:c r="F273" s="13"/>
      <x:c r="G273" s="13"/>
      <x:c r="H273" s="13"/>
      <x:c r="I273" s="7"/>
      <x:c r="J273" s="7"/>
      <x:c r="K273" s="9" t="str">
        <x:f>IF($B273="","",TEXT($B273,"yyyy-mm"))</x:f>
      </x:c>
      <x:c r="L273" s="9" t="str">
        <x:f>IF($E273="","",IFERROR(INDEX('계정과목'!$B$6:$B$56,MATCH($E273,'계정과목'!$A$6:$A$56,0)),"미등록"))</x:f>
      </x:c>
      <x:c r="M273" s="9" t="str">
        <x:f>IF($E273="","",IFERROR(INDEX('계정과목'!$C$6:$C$56,MATCH($E273,'계정과목'!$A$6:$A$56,0)),""))</x:f>
      </x:c>
      <x:c r="N273" s="9" t="str">
        <x:f>IF($E273="","",IFERROR(INDEX('계정과목'!$D$6:$D$56,MATCH($E273,'계정과목'!$A$6:$A$56,0)),""))</x:f>
      </x:c>
      <x:c r="O273" s="9" t="str">
        <x:f>IF($E273="","",IF(COUNTIF('계정과목'!$A$6:$A$56,$E273)=0,"미등록","정상"))</x:f>
      </x:c>
      <x:c r="P273" s="14" t="str">
        <x:f>IF($A273="","",ROUND(SUMIFS('전표'!$F$7:$F$306,'전표'!$A$7:$A$306,$A273)-SUMIFS('전표'!$G$7:$G$306,'전표'!$A$7:$A$306,$A273),0))</x:f>
      </x:c>
      <x:c r="Q273" s="14" t="n">
        <x:f>IF(ISNUMBER($P273),IF(ABS($P273)&gt;=1,1,0),0)</x:f>
        <x:v>0</x:v>
      </x:c>
    </x:row>
    <x:row r="274">
      <x:c r="A274" s="7"/>
      <x:c r="B274" s="11"/>
      <x:c r="C274" s="7"/>
      <x:c r="D274" s="7"/>
      <x:c r="E274" s="7"/>
      <x:c r="F274" s="13"/>
      <x:c r="G274" s="13"/>
      <x:c r="H274" s="13"/>
      <x:c r="I274" s="7"/>
      <x:c r="J274" s="7"/>
      <x:c r="K274" s="9" t="str">
        <x:f>IF($B274="","",TEXT($B274,"yyyy-mm"))</x:f>
      </x:c>
      <x:c r="L274" s="9" t="str">
        <x:f>IF($E274="","",IFERROR(INDEX('계정과목'!$B$6:$B$56,MATCH($E274,'계정과목'!$A$6:$A$56,0)),"미등록"))</x:f>
      </x:c>
      <x:c r="M274" s="9" t="str">
        <x:f>IF($E274="","",IFERROR(INDEX('계정과목'!$C$6:$C$56,MATCH($E274,'계정과목'!$A$6:$A$56,0)),""))</x:f>
      </x:c>
      <x:c r="N274" s="9" t="str">
        <x:f>IF($E274="","",IFERROR(INDEX('계정과목'!$D$6:$D$56,MATCH($E274,'계정과목'!$A$6:$A$56,0)),""))</x:f>
      </x:c>
      <x:c r="O274" s="9" t="str">
        <x:f>IF($E274="","",IF(COUNTIF('계정과목'!$A$6:$A$56,$E274)=0,"미등록","정상"))</x:f>
      </x:c>
      <x:c r="P274" s="14" t="str">
        <x:f>IF($A274="","",ROUND(SUMIFS('전표'!$F$7:$F$306,'전표'!$A$7:$A$306,$A274)-SUMIFS('전표'!$G$7:$G$306,'전표'!$A$7:$A$306,$A274),0))</x:f>
      </x:c>
      <x:c r="Q274" s="14" t="n">
        <x:f>IF(ISNUMBER($P274),IF(ABS($P274)&gt;=1,1,0),0)</x:f>
        <x:v>0</x:v>
      </x:c>
    </x:row>
    <x:row r="275">
      <x:c r="A275" s="7"/>
      <x:c r="B275" s="11"/>
      <x:c r="C275" s="7"/>
      <x:c r="D275" s="7"/>
      <x:c r="E275" s="7"/>
      <x:c r="F275" s="13"/>
      <x:c r="G275" s="13"/>
      <x:c r="H275" s="13"/>
      <x:c r="I275" s="7"/>
      <x:c r="J275" s="7"/>
      <x:c r="K275" s="9" t="str">
        <x:f>IF($B275="","",TEXT($B275,"yyyy-mm"))</x:f>
      </x:c>
      <x:c r="L275" s="9" t="str">
        <x:f>IF($E275="","",IFERROR(INDEX('계정과목'!$B$6:$B$56,MATCH($E275,'계정과목'!$A$6:$A$56,0)),"미등록"))</x:f>
      </x:c>
      <x:c r="M275" s="9" t="str">
        <x:f>IF($E275="","",IFERROR(INDEX('계정과목'!$C$6:$C$56,MATCH($E275,'계정과목'!$A$6:$A$56,0)),""))</x:f>
      </x:c>
      <x:c r="N275" s="9" t="str">
        <x:f>IF($E275="","",IFERROR(INDEX('계정과목'!$D$6:$D$56,MATCH($E275,'계정과목'!$A$6:$A$56,0)),""))</x:f>
      </x:c>
      <x:c r="O275" s="9" t="str">
        <x:f>IF($E275="","",IF(COUNTIF('계정과목'!$A$6:$A$56,$E275)=0,"미등록","정상"))</x:f>
      </x:c>
      <x:c r="P275" s="14" t="str">
        <x:f>IF($A275="","",ROUND(SUMIFS('전표'!$F$7:$F$306,'전표'!$A$7:$A$306,$A275)-SUMIFS('전표'!$G$7:$G$306,'전표'!$A$7:$A$306,$A275),0))</x:f>
      </x:c>
      <x:c r="Q275" s="14" t="n">
        <x:f>IF(ISNUMBER($P275),IF(ABS($P275)&gt;=1,1,0),0)</x:f>
        <x:v>0</x:v>
      </x:c>
    </x:row>
    <x:row r="276">
      <x:c r="A276" s="7"/>
      <x:c r="B276" s="11"/>
      <x:c r="C276" s="7"/>
      <x:c r="D276" s="7"/>
      <x:c r="E276" s="7"/>
      <x:c r="F276" s="13"/>
      <x:c r="G276" s="13"/>
      <x:c r="H276" s="13"/>
      <x:c r="I276" s="7"/>
      <x:c r="J276" s="7"/>
      <x:c r="K276" s="9" t="str">
        <x:f>IF($B276="","",TEXT($B276,"yyyy-mm"))</x:f>
      </x:c>
      <x:c r="L276" s="9" t="str">
        <x:f>IF($E276="","",IFERROR(INDEX('계정과목'!$B$6:$B$56,MATCH($E276,'계정과목'!$A$6:$A$56,0)),"미등록"))</x:f>
      </x:c>
      <x:c r="M276" s="9" t="str">
        <x:f>IF($E276="","",IFERROR(INDEX('계정과목'!$C$6:$C$56,MATCH($E276,'계정과목'!$A$6:$A$56,0)),""))</x:f>
      </x:c>
      <x:c r="N276" s="9" t="str">
        <x:f>IF($E276="","",IFERROR(INDEX('계정과목'!$D$6:$D$56,MATCH($E276,'계정과목'!$A$6:$A$56,0)),""))</x:f>
      </x:c>
      <x:c r="O276" s="9" t="str">
        <x:f>IF($E276="","",IF(COUNTIF('계정과목'!$A$6:$A$56,$E276)=0,"미등록","정상"))</x:f>
      </x:c>
      <x:c r="P276" s="14" t="str">
        <x:f>IF($A276="","",ROUND(SUMIFS('전표'!$F$7:$F$306,'전표'!$A$7:$A$306,$A276)-SUMIFS('전표'!$G$7:$G$306,'전표'!$A$7:$A$306,$A276),0))</x:f>
      </x:c>
      <x:c r="Q276" s="14" t="n">
        <x:f>IF(ISNUMBER($P276),IF(ABS($P276)&gt;=1,1,0),0)</x:f>
        <x:v>0</x:v>
      </x:c>
    </x:row>
    <x:row r="277">
      <x:c r="A277" s="7"/>
      <x:c r="B277" s="11"/>
      <x:c r="C277" s="7"/>
      <x:c r="D277" s="7"/>
      <x:c r="E277" s="7"/>
      <x:c r="F277" s="13"/>
      <x:c r="G277" s="13"/>
      <x:c r="H277" s="13"/>
      <x:c r="I277" s="7"/>
      <x:c r="J277" s="7"/>
      <x:c r="K277" s="9" t="str">
        <x:f>IF($B277="","",TEXT($B277,"yyyy-mm"))</x:f>
      </x:c>
      <x:c r="L277" s="9" t="str">
        <x:f>IF($E277="","",IFERROR(INDEX('계정과목'!$B$6:$B$56,MATCH($E277,'계정과목'!$A$6:$A$56,0)),"미등록"))</x:f>
      </x:c>
      <x:c r="M277" s="9" t="str">
        <x:f>IF($E277="","",IFERROR(INDEX('계정과목'!$C$6:$C$56,MATCH($E277,'계정과목'!$A$6:$A$56,0)),""))</x:f>
      </x:c>
      <x:c r="N277" s="9" t="str">
        <x:f>IF($E277="","",IFERROR(INDEX('계정과목'!$D$6:$D$56,MATCH($E277,'계정과목'!$A$6:$A$56,0)),""))</x:f>
      </x:c>
      <x:c r="O277" s="9" t="str">
        <x:f>IF($E277="","",IF(COUNTIF('계정과목'!$A$6:$A$56,$E277)=0,"미등록","정상"))</x:f>
      </x:c>
      <x:c r="P277" s="14" t="str">
        <x:f>IF($A277="","",ROUND(SUMIFS('전표'!$F$7:$F$306,'전표'!$A$7:$A$306,$A277)-SUMIFS('전표'!$G$7:$G$306,'전표'!$A$7:$A$306,$A277),0))</x:f>
      </x:c>
      <x:c r="Q277" s="14" t="n">
        <x:f>IF(ISNUMBER($P277),IF(ABS($P277)&gt;=1,1,0),0)</x:f>
        <x:v>0</x:v>
      </x:c>
    </x:row>
    <x:row r="278">
      <x:c r="A278" s="7"/>
      <x:c r="B278" s="11"/>
      <x:c r="C278" s="7"/>
      <x:c r="D278" s="7"/>
      <x:c r="E278" s="7"/>
      <x:c r="F278" s="13"/>
      <x:c r="G278" s="13"/>
      <x:c r="H278" s="13"/>
      <x:c r="I278" s="7"/>
      <x:c r="J278" s="7"/>
      <x:c r="K278" s="9" t="str">
        <x:f>IF($B278="","",TEXT($B278,"yyyy-mm"))</x:f>
      </x:c>
      <x:c r="L278" s="9" t="str">
        <x:f>IF($E278="","",IFERROR(INDEX('계정과목'!$B$6:$B$56,MATCH($E278,'계정과목'!$A$6:$A$56,0)),"미등록"))</x:f>
      </x:c>
      <x:c r="M278" s="9" t="str">
        <x:f>IF($E278="","",IFERROR(INDEX('계정과목'!$C$6:$C$56,MATCH($E278,'계정과목'!$A$6:$A$56,0)),""))</x:f>
      </x:c>
      <x:c r="N278" s="9" t="str">
        <x:f>IF($E278="","",IFERROR(INDEX('계정과목'!$D$6:$D$56,MATCH($E278,'계정과목'!$A$6:$A$56,0)),""))</x:f>
      </x:c>
      <x:c r="O278" s="9" t="str">
        <x:f>IF($E278="","",IF(COUNTIF('계정과목'!$A$6:$A$56,$E278)=0,"미등록","정상"))</x:f>
      </x:c>
      <x:c r="P278" s="14" t="str">
        <x:f>IF($A278="","",ROUND(SUMIFS('전표'!$F$7:$F$306,'전표'!$A$7:$A$306,$A278)-SUMIFS('전표'!$G$7:$G$306,'전표'!$A$7:$A$306,$A278),0))</x:f>
      </x:c>
      <x:c r="Q278" s="14" t="n">
        <x:f>IF(ISNUMBER($P278),IF(ABS($P278)&gt;=1,1,0),0)</x:f>
        <x:v>0</x:v>
      </x:c>
    </x:row>
    <x:row r="279">
      <x:c r="A279" s="7"/>
      <x:c r="B279" s="11"/>
      <x:c r="C279" s="7"/>
      <x:c r="D279" s="7"/>
      <x:c r="E279" s="7"/>
      <x:c r="F279" s="13"/>
      <x:c r="G279" s="13"/>
      <x:c r="H279" s="13"/>
      <x:c r="I279" s="7"/>
      <x:c r="J279" s="7"/>
      <x:c r="K279" s="9" t="str">
        <x:f>IF($B279="","",TEXT($B279,"yyyy-mm"))</x:f>
      </x:c>
      <x:c r="L279" s="9" t="str">
        <x:f>IF($E279="","",IFERROR(INDEX('계정과목'!$B$6:$B$56,MATCH($E279,'계정과목'!$A$6:$A$56,0)),"미등록"))</x:f>
      </x:c>
      <x:c r="M279" s="9" t="str">
        <x:f>IF($E279="","",IFERROR(INDEX('계정과목'!$C$6:$C$56,MATCH($E279,'계정과목'!$A$6:$A$56,0)),""))</x:f>
      </x:c>
      <x:c r="N279" s="9" t="str">
        <x:f>IF($E279="","",IFERROR(INDEX('계정과목'!$D$6:$D$56,MATCH($E279,'계정과목'!$A$6:$A$56,0)),""))</x:f>
      </x:c>
      <x:c r="O279" s="9" t="str">
        <x:f>IF($E279="","",IF(COUNTIF('계정과목'!$A$6:$A$56,$E279)=0,"미등록","정상"))</x:f>
      </x:c>
      <x:c r="P279" s="14" t="str">
        <x:f>IF($A279="","",ROUND(SUMIFS('전표'!$F$7:$F$306,'전표'!$A$7:$A$306,$A279)-SUMIFS('전표'!$G$7:$G$306,'전표'!$A$7:$A$306,$A279),0))</x:f>
      </x:c>
      <x:c r="Q279" s="14" t="n">
        <x:f>IF(ISNUMBER($P279),IF(ABS($P279)&gt;=1,1,0),0)</x:f>
        <x:v>0</x:v>
      </x:c>
    </x:row>
    <x:row r="280">
      <x:c r="A280" s="7"/>
      <x:c r="B280" s="11"/>
      <x:c r="C280" s="7"/>
      <x:c r="D280" s="7"/>
      <x:c r="E280" s="7"/>
      <x:c r="F280" s="13"/>
      <x:c r="G280" s="13"/>
      <x:c r="H280" s="13"/>
      <x:c r="I280" s="7"/>
      <x:c r="J280" s="7"/>
      <x:c r="K280" s="9" t="str">
        <x:f>IF($B280="","",TEXT($B280,"yyyy-mm"))</x:f>
      </x:c>
      <x:c r="L280" s="9" t="str">
        <x:f>IF($E280="","",IFERROR(INDEX('계정과목'!$B$6:$B$56,MATCH($E280,'계정과목'!$A$6:$A$56,0)),"미등록"))</x:f>
      </x:c>
      <x:c r="M280" s="9" t="str">
        <x:f>IF($E280="","",IFERROR(INDEX('계정과목'!$C$6:$C$56,MATCH($E280,'계정과목'!$A$6:$A$56,0)),""))</x:f>
      </x:c>
      <x:c r="N280" s="9" t="str">
        <x:f>IF($E280="","",IFERROR(INDEX('계정과목'!$D$6:$D$56,MATCH($E280,'계정과목'!$A$6:$A$56,0)),""))</x:f>
      </x:c>
      <x:c r="O280" s="9" t="str">
        <x:f>IF($E280="","",IF(COUNTIF('계정과목'!$A$6:$A$56,$E280)=0,"미등록","정상"))</x:f>
      </x:c>
      <x:c r="P280" s="14" t="str">
        <x:f>IF($A280="","",ROUND(SUMIFS('전표'!$F$7:$F$306,'전표'!$A$7:$A$306,$A280)-SUMIFS('전표'!$G$7:$G$306,'전표'!$A$7:$A$306,$A280),0))</x:f>
      </x:c>
      <x:c r="Q280" s="14" t="n">
        <x:f>IF(ISNUMBER($P280),IF(ABS($P280)&gt;=1,1,0),0)</x:f>
        <x:v>0</x:v>
      </x:c>
    </x:row>
    <x:row r="281">
      <x:c r="A281" s="7"/>
      <x:c r="B281" s="11"/>
      <x:c r="C281" s="7"/>
      <x:c r="D281" s="7"/>
      <x:c r="E281" s="7"/>
      <x:c r="F281" s="13"/>
      <x:c r="G281" s="13"/>
      <x:c r="H281" s="13"/>
      <x:c r="I281" s="7"/>
      <x:c r="J281" s="7"/>
      <x:c r="K281" s="9" t="str">
        <x:f>IF($B281="","",TEXT($B281,"yyyy-mm"))</x:f>
      </x:c>
      <x:c r="L281" s="9" t="str">
        <x:f>IF($E281="","",IFERROR(INDEX('계정과목'!$B$6:$B$56,MATCH($E281,'계정과목'!$A$6:$A$56,0)),"미등록"))</x:f>
      </x:c>
      <x:c r="M281" s="9" t="str">
        <x:f>IF($E281="","",IFERROR(INDEX('계정과목'!$C$6:$C$56,MATCH($E281,'계정과목'!$A$6:$A$56,0)),""))</x:f>
      </x:c>
      <x:c r="N281" s="9" t="str">
        <x:f>IF($E281="","",IFERROR(INDEX('계정과목'!$D$6:$D$56,MATCH($E281,'계정과목'!$A$6:$A$56,0)),""))</x:f>
      </x:c>
      <x:c r="O281" s="9" t="str">
        <x:f>IF($E281="","",IF(COUNTIF('계정과목'!$A$6:$A$56,$E281)=0,"미등록","정상"))</x:f>
      </x:c>
      <x:c r="P281" s="14" t="str">
        <x:f>IF($A281="","",ROUND(SUMIFS('전표'!$F$7:$F$306,'전표'!$A$7:$A$306,$A281)-SUMIFS('전표'!$G$7:$G$306,'전표'!$A$7:$A$306,$A281),0))</x:f>
      </x:c>
      <x:c r="Q281" s="14" t="n">
        <x:f>IF(ISNUMBER($P281),IF(ABS($P281)&gt;=1,1,0),0)</x:f>
        <x:v>0</x:v>
      </x:c>
    </x:row>
    <x:row r="282">
      <x:c r="A282" s="7"/>
      <x:c r="B282" s="11"/>
      <x:c r="C282" s="7"/>
      <x:c r="D282" s="7"/>
      <x:c r="E282" s="7"/>
      <x:c r="F282" s="13"/>
      <x:c r="G282" s="13"/>
      <x:c r="H282" s="13"/>
      <x:c r="I282" s="7"/>
      <x:c r="J282" s="7"/>
      <x:c r="K282" s="9" t="str">
        <x:f>IF($B282="","",TEXT($B282,"yyyy-mm"))</x:f>
      </x:c>
      <x:c r="L282" s="9" t="str">
        <x:f>IF($E282="","",IFERROR(INDEX('계정과목'!$B$6:$B$56,MATCH($E282,'계정과목'!$A$6:$A$56,0)),"미등록"))</x:f>
      </x:c>
      <x:c r="M282" s="9" t="str">
        <x:f>IF($E282="","",IFERROR(INDEX('계정과목'!$C$6:$C$56,MATCH($E282,'계정과목'!$A$6:$A$56,0)),""))</x:f>
      </x:c>
      <x:c r="N282" s="9" t="str">
        <x:f>IF($E282="","",IFERROR(INDEX('계정과목'!$D$6:$D$56,MATCH($E282,'계정과목'!$A$6:$A$56,0)),""))</x:f>
      </x:c>
      <x:c r="O282" s="9" t="str">
        <x:f>IF($E282="","",IF(COUNTIF('계정과목'!$A$6:$A$56,$E282)=0,"미등록","정상"))</x:f>
      </x:c>
      <x:c r="P282" s="14" t="str">
        <x:f>IF($A282="","",ROUND(SUMIFS('전표'!$F$7:$F$306,'전표'!$A$7:$A$306,$A282)-SUMIFS('전표'!$G$7:$G$306,'전표'!$A$7:$A$306,$A282),0))</x:f>
      </x:c>
      <x:c r="Q282" s="14" t="n">
        <x:f>IF(ISNUMBER($P282),IF(ABS($P282)&gt;=1,1,0),0)</x:f>
        <x:v>0</x:v>
      </x:c>
    </x:row>
    <x:row r="283">
      <x:c r="A283" s="7"/>
      <x:c r="B283" s="11"/>
      <x:c r="C283" s="7"/>
      <x:c r="D283" s="7"/>
      <x:c r="E283" s="7"/>
      <x:c r="F283" s="13"/>
      <x:c r="G283" s="13"/>
      <x:c r="H283" s="13"/>
      <x:c r="I283" s="7"/>
      <x:c r="J283" s="7"/>
      <x:c r="K283" s="9" t="str">
        <x:f>IF($B283="","",TEXT($B283,"yyyy-mm"))</x:f>
      </x:c>
      <x:c r="L283" s="9" t="str">
        <x:f>IF($E283="","",IFERROR(INDEX('계정과목'!$B$6:$B$56,MATCH($E283,'계정과목'!$A$6:$A$56,0)),"미등록"))</x:f>
      </x:c>
      <x:c r="M283" s="9" t="str">
        <x:f>IF($E283="","",IFERROR(INDEX('계정과목'!$C$6:$C$56,MATCH($E283,'계정과목'!$A$6:$A$56,0)),""))</x:f>
      </x:c>
      <x:c r="N283" s="9" t="str">
        <x:f>IF($E283="","",IFERROR(INDEX('계정과목'!$D$6:$D$56,MATCH($E283,'계정과목'!$A$6:$A$56,0)),""))</x:f>
      </x:c>
      <x:c r="O283" s="9" t="str">
        <x:f>IF($E283="","",IF(COUNTIF('계정과목'!$A$6:$A$56,$E283)=0,"미등록","정상"))</x:f>
      </x:c>
      <x:c r="P283" s="14" t="str">
        <x:f>IF($A283="","",ROUND(SUMIFS('전표'!$F$7:$F$306,'전표'!$A$7:$A$306,$A283)-SUMIFS('전표'!$G$7:$G$306,'전표'!$A$7:$A$306,$A283),0))</x:f>
      </x:c>
      <x:c r="Q283" s="14" t="n">
        <x:f>IF(ISNUMBER($P283),IF(ABS($P283)&gt;=1,1,0),0)</x:f>
        <x:v>0</x:v>
      </x:c>
    </x:row>
    <x:row r="284">
      <x:c r="A284" s="7"/>
      <x:c r="B284" s="11"/>
      <x:c r="C284" s="7"/>
      <x:c r="D284" s="7"/>
      <x:c r="E284" s="7"/>
      <x:c r="F284" s="13"/>
      <x:c r="G284" s="13"/>
      <x:c r="H284" s="13"/>
      <x:c r="I284" s="7"/>
      <x:c r="J284" s="7"/>
      <x:c r="K284" s="9" t="str">
        <x:f>IF($B284="","",TEXT($B284,"yyyy-mm"))</x:f>
      </x:c>
      <x:c r="L284" s="9" t="str">
        <x:f>IF($E284="","",IFERROR(INDEX('계정과목'!$B$6:$B$56,MATCH($E284,'계정과목'!$A$6:$A$56,0)),"미등록"))</x:f>
      </x:c>
      <x:c r="M284" s="9" t="str">
        <x:f>IF($E284="","",IFERROR(INDEX('계정과목'!$C$6:$C$56,MATCH($E284,'계정과목'!$A$6:$A$56,0)),""))</x:f>
      </x:c>
      <x:c r="N284" s="9" t="str">
        <x:f>IF($E284="","",IFERROR(INDEX('계정과목'!$D$6:$D$56,MATCH($E284,'계정과목'!$A$6:$A$56,0)),""))</x:f>
      </x:c>
      <x:c r="O284" s="9" t="str">
        <x:f>IF($E284="","",IF(COUNTIF('계정과목'!$A$6:$A$56,$E284)=0,"미등록","정상"))</x:f>
      </x:c>
      <x:c r="P284" s="14" t="str">
        <x:f>IF($A284="","",ROUND(SUMIFS('전표'!$F$7:$F$306,'전표'!$A$7:$A$306,$A284)-SUMIFS('전표'!$G$7:$G$306,'전표'!$A$7:$A$306,$A284),0))</x:f>
      </x:c>
      <x:c r="Q284" s="14" t="n">
        <x:f>IF(ISNUMBER($P284),IF(ABS($P284)&gt;=1,1,0),0)</x:f>
        <x:v>0</x:v>
      </x:c>
    </x:row>
    <x:row r="285">
      <x:c r="A285" s="7"/>
      <x:c r="B285" s="11"/>
      <x:c r="C285" s="7"/>
      <x:c r="D285" s="7"/>
      <x:c r="E285" s="7"/>
      <x:c r="F285" s="13"/>
      <x:c r="G285" s="13"/>
      <x:c r="H285" s="13"/>
      <x:c r="I285" s="7"/>
      <x:c r="J285" s="7"/>
      <x:c r="K285" s="9" t="str">
        <x:f>IF($B285="","",TEXT($B285,"yyyy-mm"))</x:f>
      </x:c>
      <x:c r="L285" s="9" t="str">
        <x:f>IF($E285="","",IFERROR(INDEX('계정과목'!$B$6:$B$56,MATCH($E285,'계정과목'!$A$6:$A$56,0)),"미등록"))</x:f>
      </x:c>
      <x:c r="M285" s="9" t="str">
        <x:f>IF($E285="","",IFERROR(INDEX('계정과목'!$C$6:$C$56,MATCH($E285,'계정과목'!$A$6:$A$56,0)),""))</x:f>
      </x:c>
      <x:c r="N285" s="9" t="str">
        <x:f>IF($E285="","",IFERROR(INDEX('계정과목'!$D$6:$D$56,MATCH($E285,'계정과목'!$A$6:$A$56,0)),""))</x:f>
      </x:c>
      <x:c r="O285" s="9" t="str">
        <x:f>IF($E285="","",IF(COUNTIF('계정과목'!$A$6:$A$56,$E285)=0,"미등록","정상"))</x:f>
      </x:c>
      <x:c r="P285" s="14" t="str">
        <x:f>IF($A285="","",ROUND(SUMIFS('전표'!$F$7:$F$306,'전표'!$A$7:$A$306,$A285)-SUMIFS('전표'!$G$7:$G$306,'전표'!$A$7:$A$306,$A285),0))</x:f>
      </x:c>
      <x:c r="Q285" s="14" t="n">
        <x:f>IF(ISNUMBER($P285),IF(ABS($P285)&gt;=1,1,0),0)</x:f>
        <x:v>0</x:v>
      </x:c>
    </x:row>
    <x:row r="286">
      <x:c r="A286" s="7"/>
      <x:c r="B286" s="11"/>
      <x:c r="C286" s="7"/>
      <x:c r="D286" s="7"/>
      <x:c r="E286" s="7"/>
      <x:c r="F286" s="13"/>
      <x:c r="G286" s="13"/>
      <x:c r="H286" s="13"/>
      <x:c r="I286" s="7"/>
      <x:c r="J286" s="7"/>
      <x:c r="K286" s="9" t="str">
        <x:f>IF($B286="","",TEXT($B286,"yyyy-mm"))</x:f>
      </x:c>
      <x:c r="L286" s="9" t="str">
        <x:f>IF($E286="","",IFERROR(INDEX('계정과목'!$B$6:$B$56,MATCH($E286,'계정과목'!$A$6:$A$56,0)),"미등록"))</x:f>
      </x:c>
      <x:c r="M286" s="9" t="str">
        <x:f>IF($E286="","",IFERROR(INDEX('계정과목'!$C$6:$C$56,MATCH($E286,'계정과목'!$A$6:$A$56,0)),""))</x:f>
      </x:c>
      <x:c r="N286" s="9" t="str">
        <x:f>IF($E286="","",IFERROR(INDEX('계정과목'!$D$6:$D$56,MATCH($E286,'계정과목'!$A$6:$A$56,0)),""))</x:f>
      </x:c>
      <x:c r="O286" s="9" t="str">
        <x:f>IF($E286="","",IF(COUNTIF('계정과목'!$A$6:$A$56,$E286)=0,"미등록","정상"))</x:f>
      </x:c>
      <x:c r="P286" s="14" t="str">
        <x:f>IF($A286="","",ROUND(SUMIFS('전표'!$F$7:$F$306,'전표'!$A$7:$A$306,$A286)-SUMIFS('전표'!$G$7:$G$306,'전표'!$A$7:$A$306,$A286),0))</x:f>
      </x:c>
      <x:c r="Q286" s="14" t="n">
        <x:f>IF(ISNUMBER($P286),IF(ABS($P286)&gt;=1,1,0),0)</x:f>
        <x:v>0</x:v>
      </x:c>
    </x:row>
    <x:row r="287">
      <x:c r="A287" s="7"/>
      <x:c r="B287" s="11"/>
      <x:c r="C287" s="7"/>
      <x:c r="D287" s="7"/>
      <x:c r="E287" s="7"/>
      <x:c r="F287" s="13"/>
      <x:c r="G287" s="13"/>
      <x:c r="H287" s="13"/>
      <x:c r="I287" s="7"/>
      <x:c r="J287" s="7"/>
      <x:c r="K287" s="9" t="str">
        <x:f>IF($B287="","",TEXT($B287,"yyyy-mm"))</x:f>
      </x:c>
      <x:c r="L287" s="9" t="str">
        <x:f>IF($E287="","",IFERROR(INDEX('계정과목'!$B$6:$B$56,MATCH($E287,'계정과목'!$A$6:$A$56,0)),"미등록"))</x:f>
      </x:c>
      <x:c r="M287" s="9" t="str">
        <x:f>IF($E287="","",IFERROR(INDEX('계정과목'!$C$6:$C$56,MATCH($E287,'계정과목'!$A$6:$A$56,0)),""))</x:f>
      </x:c>
      <x:c r="N287" s="9" t="str">
        <x:f>IF($E287="","",IFERROR(INDEX('계정과목'!$D$6:$D$56,MATCH($E287,'계정과목'!$A$6:$A$56,0)),""))</x:f>
      </x:c>
      <x:c r="O287" s="9" t="str">
        <x:f>IF($E287="","",IF(COUNTIF('계정과목'!$A$6:$A$56,$E287)=0,"미등록","정상"))</x:f>
      </x:c>
      <x:c r="P287" s="14" t="str">
        <x:f>IF($A287="","",ROUND(SUMIFS('전표'!$F$7:$F$306,'전표'!$A$7:$A$306,$A287)-SUMIFS('전표'!$G$7:$G$306,'전표'!$A$7:$A$306,$A287),0))</x:f>
      </x:c>
      <x:c r="Q287" s="14" t="n">
        <x:f>IF(ISNUMBER($P287),IF(ABS($P287)&gt;=1,1,0),0)</x:f>
        <x:v>0</x:v>
      </x:c>
    </x:row>
    <x:row r="288">
      <x:c r="A288" s="7"/>
      <x:c r="B288" s="11"/>
      <x:c r="C288" s="7"/>
      <x:c r="D288" s="7"/>
      <x:c r="E288" s="7"/>
      <x:c r="F288" s="13"/>
      <x:c r="G288" s="13"/>
      <x:c r="H288" s="13"/>
      <x:c r="I288" s="7"/>
      <x:c r="J288" s="7"/>
      <x:c r="K288" s="9" t="str">
        <x:f>IF($B288="","",TEXT($B288,"yyyy-mm"))</x:f>
      </x:c>
      <x:c r="L288" s="9" t="str">
        <x:f>IF($E288="","",IFERROR(INDEX('계정과목'!$B$6:$B$56,MATCH($E288,'계정과목'!$A$6:$A$56,0)),"미등록"))</x:f>
      </x:c>
      <x:c r="M288" s="9" t="str">
        <x:f>IF($E288="","",IFERROR(INDEX('계정과목'!$C$6:$C$56,MATCH($E288,'계정과목'!$A$6:$A$56,0)),""))</x:f>
      </x:c>
      <x:c r="N288" s="9" t="str">
        <x:f>IF($E288="","",IFERROR(INDEX('계정과목'!$D$6:$D$56,MATCH($E288,'계정과목'!$A$6:$A$56,0)),""))</x:f>
      </x:c>
      <x:c r="O288" s="9" t="str">
        <x:f>IF($E288="","",IF(COUNTIF('계정과목'!$A$6:$A$56,$E288)=0,"미등록","정상"))</x:f>
      </x:c>
      <x:c r="P288" s="14" t="str">
        <x:f>IF($A288="","",ROUND(SUMIFS('전표'!$F$7:$F$306,'전표'!$A$7:$A$306,$A288)-SUMIFS('전표'!$G$7:$G$306,'전표'!$A$7:$A$306,$A288),0))</x:f>
      </x:c>
      <x:c r="Q288" s="14" t="n">
        <x:f>IF(ISNUMBER($P288),IF(ABS($P288)&gt;=1,1,0),0)</x:f>
        <x:v>0</x:v>
      </x:c>
    </x:row>
    <x:row r="289">
      <x:c r="A289" s="7"/>
      <x:c r="B289" s="11"/>
      <x:c r="C289" s="7"/>
      <x:c r="D289" s="7"/>
      <x:c r="E289" s="7"/>
      <x:c r="F289" s="13"/>
      <x:c r="G289" s="13"/>
      <x:c r="H289" s="13"/>
      <x:c r="I289" s="7"/>
      <x:c r="J289" s="7"/>
      <x:c r="K289" s="9" t="str">
        <x:f>IF($B289="","",TEXT($B289,"yyyy-mm"))</x:f>
      </x:c>
      <x:c r="L289" s="9" t="str">
        <x:f>IF($E289="","",IFERROR(INDEX('계정과목'!$B$6:$B$56,MATCH($E289,'계정과목'!$A$6:$A$56,0)),"미등록"))</x:f>
      </x:c>
      <x:c r="M289" s="9" t="str">
        <x:f>IF($E289="","",IFERROR(INDEX('계정과목'!$C$6:$C$56,MATCH($E289,'계정과목'!$A$6:$A$56,0)),""))</x:f>
      </x:c>
      <x:c r="N289" s="9" t="str">
        <x:f>IF($E289="","",IFERROR(INDEX('계정과목'!$D$6:$D$56,MATCH($E289,'계정과목'!$A$6:$A$56,0)),""))</x:f>
      </x:c>
      <x:c r="O289" s="9" t="str">
        <x:f>IF($E289="","",IF(COUNTIF('계정과목'!$A$6:$A$56,$E289)=0,"미등록","정상"))</x:f>
      </x:c>
      <x:c r="P289" s="14" t="str">
        <x:f>IF($A289="","",ROUND(SUMIFS('전표'!$F$7:$F$306,'전표'!$A$7:$A$306,$A289)-SUMIFS('전표'!$G$7:$G$306,'전표'!$A$7:$A$306,$A289),0))</x:f>
      </x:c>
      <x:c r="Q289" s="14" t="n">
        <x:f>IF(ISNUMBER($P289),IF(ABS($P289)&gt;=1,1,0),0)</x:f>
        <x:v>0</x:v>
      </x:c>
    </x:row>
    <x:row r="290">
      <x:c r="A290" s="7"/>
      <x:c r="B290" s="11"/>
      <x:c r="C290" s="7"/>
      <x:c r="D290" s="7"/>
      <x:c r="E290" s="7"/>
      <x:c r="F290" s="13"/>
      <x:c r="G290" s="13"/>
      <x:c r="H290" s="13"/>
      <x:c r="I290" s="7"/>
      <x:c r="J290" s="7"/>
      <x:c r="K290" s="9" t="str">
        <x:f>IF($B290="","",TEXT($B290,"yyyy-mm"))</x:f>
      </x:c>
      <x:c r="L290" s="9" t="str">
        <x:f>IF($E290="","",IFERROR(INDEX('계정과목'!$B$6:$B$56,MATCH($E290,'계정과목'!$A$6:$A$56,0)),"미등록"))</x:f>
      </x:c>
      <x:c r="M290" s="9" t="str">
        <x:f>IF($E290="","",IFERROR(INDEX('계정과목'!$C$6:$C$56,MATCH($E290,'계정과목'!$A$6:$A$56,0)),""))</x:f>
      </x:c>
      <x:c r="N290" s="9" t="str">
        <x:f>IF($E290="","",IFERROR(INDEX('계정과목'!$D$6:$D$56,MATCH($E290,'계정과목'!$A$6:$A$56,0)),""))</x:f>
      </x:c>
      <x:c r="O290" s="9" t="str">
        <x:f>IF($E290="","",IF(COUNTIF('계정과목'!$A$6:$A$56,$E290)=0,"미등록","정상"))</x:f>
      </x:c>
      <x:c r="P290" s="14" t="str">
        <x:f>IF($A290="","",ROUND(SUMIFS('전표'!$F$7:$F$306,'전표'!$A$7:$A$306,$A290)-SUMIFS('전표'!$G$7:$G$306,'전표'!$A$7:$A$306,$A290),0))</x:f>
      </x:c>
      <x:c r="Q290" s="14" t="n">
        <x:f>IF(ISNUMBER($P290),IF(ABS($P290)&gt;=1,1,0),0)</x:f>
        <x:v>0</x:v>
      </x:c>
    </x:row>
    <x:row r="291">
      <x:c r="A291" s="7"/>
      <x:c r="B291" s="11"/>
      <x:c r="C291" s="7"/>
      <x:c r="D291" s="7"/>
      <x:c r="E291" s="7"/>
      <x:c r="F291" s="13"/>
      <x:c r="G291" s="13"/>
      <x:c r="H291" s="13"/>
      <x:c r="I291" s="7"/>
      <x:c r="J291" s="7"/>
      <x:c r="K291" s="9" t="str">
        <x:f>IF($B291="","",TEXT($B291,"yyyy-mm"))</x:f>
      </x:c>
      <x:c r="L291" s="9" t="str">
        <x:f>IF($E291="","",IFERROR(INDEX('계정과목'!$B$6:$B$56,MATCH($E291,'계정과목'!$A$6:$A$56,0)),"미등록"))</x:f>
      </x:c>
      <x:c r="M291" s="9" t="str">
        <x:f>IF($E291="","",IFERROR(INDEX('계정과목'!$C$6:$C$56,MATCH($E291,'계정과목'!$A$6:$A$56,0)),""))</x:f>
      </x:c>
      <x:c r="N291" s="9" t="str">
        <x:f>IF($E291="","",IFERROR(INDEX('계정과목'!$D$6:$D$56,MATCH($E291,'계정과목'!$A$6:$A$56,0)),""))</x:f>
      </x:c>
      <x:c r="O291" s="9" t="str">
        <x:f>IF($E291="","",IF(COUNTIF('계정과목'!$A$6:$A$56,$E291)=0,"미등록","정상"))</x:f>
      </x:c>
      <x:c r="P291" s="14" t="str">
        <x:f>IF($A291="","",ROUND(SUMIFS('전표'!$F$7:$F$306,'전표'!$A$7:$A$306,$A291)-SUMIFS('전표'!$G$7:$G$306,'전표'!$A$7:$A$306,$A291),0))</x:f>
      </x:c>
      <x:c r="Q291" s="14" t="n">
        <x:f>IF(ISNUMBER($P291),IF(ABS($P291)&gt;=1,1,0),0)</x:f>
        <x:v>0</x:v>
      </x:c>
    </x:row>
    <x:row r="292">
      <x:c r="A292" s="7"/>
      <x:c r="B292" s="11"/>
      <x:c r="C292" s="7"/>
      <x:c r="D292" s="7"/>
      <x:c r="E292" s="7"/>
      <x:c r="F292" s="13"/>
      <x:c r="G292" s="13"/>
      <x:c r="H292" s="13"/>
      <x:c r="I292" s="7"/>
      <x:c r="J292" s="7"/>
      <x:c r="K292" s="9" t="str">
        <x:f>IF($B292="","",TEXT($B292,"yyyy-mm"))</x:f>
      </x:c>
      <x:c r="L292" s="9" t="str">
        <x:f>IF($E292="","",IFERROR(INDEX('계정과목'!$B$6:$B$56,MATCH($E292,'계정과목'!$A$6:$A$56,0)),"미등록"))</x:f>
      </x:c>
      <x:c r="M292" s="9" t="str">
        <x:f>IF($E292="","",IFERROR(INDEX('계정과목'!$C$6:$C$56,MATCH($E292,'계정과목'!$A$6:$A$56,0)),""))</x:f>
      </x:c>
      <x:c r="N292" s="9" t="str">
        <x:f>IF($E292="","",IFERROR(INDEX('계정과목'!$D$6:$D$56,MATCH($E292,'계정과목'!$A$6:$A$56,0)),""))</x:f>
      </x:c>
      <x:c r="O292" s="9" t="str">
        <x:f>IF($E292="","",IF(COUNTIF('계정과목'!$A$6:$A$56,$E292)=0,"미등록","정상"))</x:f>
      </x:c>
      <x:c r="P292" s="14" t="str">
        <x:f>IF($A292="","",ROUND(SUMIFS('전표'!$F$7:$F$306,'전표'!$A$7:$A$306,$A292)-SUMIFS('전표'!$G$7:$G$306,'전표'!$A$7:$A$306,$A292),0))</x:f>
      </x:c>
      <x:c r="Q292" s="14" t="n">
        <x:f>IF(ISNUMBER($P292),IF(ABS($P292)&gt;=1,1,0),0)</x:f>
        <x:v>0</x:v>
      </x:c>
    </x:row>
    <x:row r="293">
      <x:c r="A293" s="7"/>
      <x:c r="B293" s="11"/>
      <x:c r="C293" s="7"/>
      <x:c r="D293" s="7"/>
      <x:c r="E293" s="7"/>
      <x:c r="F293" s="13"/>
      <x:c r="G293" s="13"/>
      <x:c r="H293" s="13"/>
      <x:c r="I293" s="7"/>
      <x:c r="J293" s="7"/>
      <x:c r="K293" s="9" t="str">
        <x:f>IF($B293="","",TEXT($B293,"yyyy-mm"))</x:f>
      </x:c>
      <x:c r="L293" s="9" t="str">
        <x:f>IF($E293="","",IFERROR(INDEX('계정과목'!$B$6:$B$56,MATCH($E293,'계정과목'!$A$6:$A$56,0)),"미등록"))</x:f>
      </x:c>
      <x:c r="M293" s="9" t="str">
        <x:f>IF($E293="","",IFERROR(INDEX('계정과목'!$C$6:$C$56,MATCH($E293,'계정과목'!$A$6:$A$56,0)),""))</x:f>
      </x:c>
      <x:c r="N293" s="9" t="str">
        <x:f>IF($E293="","",IFERROR(INDEX('계정과목'!$D$6:$D$56,MATCH($E293,'계정과목'!$A$6:$A$56,0)),""))</x:f>
      </x:c>
      <x:c r="O293" s="9" t="str">
        <x:f>IF($E293="","",IF(COUNTIF('계정과목'!$A$6:$A$56,$E293)=0,"미등록","정상"))</x:f>
      </x:c>
      <x:c r="P293" s="14" t="str">
        <x:f>IF($A293="","",ROUND(SUMIFS('전표'!$F$7:$F$306,'전표'!$A$7:$A$306,$A293)-SUMIFS('전표'!$G$7:$G$306,'전표'!$A$7:$A$306,$A293),0))</x:f>
      </x:c>
      <x:c r="Q293" s="14" t="n">
        <x:f>IF(ISNUMBER($P293),IF(ABS($P293)&gt;=1,1,0),0)</x:f>
        <x:v>0</x:v>
      </x:c>
    </x:row>
    <x:row r="294">
      <x:c r="A294" s="7"/>
      <x:c r="B294" s="11"/>
      <x:c r="C294" s="7"/>
      <x:c r="D294" s="7"/>
      <x:c r="E294" s="7"/>
      <x:c r="F294" s="13"/>
      <x:c r="G294" s="13"/>
      <x:c r="H294" s="13"/>
      <x:c r="I294" s="7"/>
      <x:c r="J294" s="7"/>
      <x:c r="K294" s="9" t="str">
        <x:f>IF($B294="","",TEXT($B294,"yyyy-mm"))</x:f>
      </x:c>
      <x:c r="L294" s="9" t="str">
        <x:f>IF($E294="","",IFERROR(INDEX('계정과목'!$B$6:$B$56,MATCH($E294,'계정과목'!$A$6:$A$56,0)),"미등록"))</x:f>
      </x:c>
      <x:c r="M294" s="9" t="str">
        <x:f>IF($E294="","",IFERROR(INDEX('계정과목'!$C$6:$C$56,MATCH($E294,'계정과목'!$A$6:$A$56,0)),""))</x:f>
      </x:c>
      <x:c r="N294" s="9" t="str">
        <x:f>IF($E294="","",IFERROR(INDEX('계정과목'!$D$6:$D$56,MATCH($E294,'계정과목'!$A$6:$A$56,0)),""))</x:f>
      </x:c>
      <x:c r="O294" s="9" t="str">
        <x:f>IF($E294="","",IF(COUNTIF('계정과목'!$A$6:$A$56,$E294)=0,"미등록","정상"))</x:f>
      </x:c>
      <x:c r="P294" s="14" t="str">
        <x:f>IF($A294="","",ROUND(SUMIFS('전표'!$F$7:$F$306,'전표'!$A$7:$A$306,$A294)-SUMIFS('전표'!$G$7:$G$306,'전표'!$A$7:$A$306,$A294),0))</x:f>
      </x:c>
      <x:c r="Q294" s="14" t="n">
        <x:f>IF(ISNUMBER($P294),IF(ABS($P294)&gt;=1,1,0),0)</x:f>
        <x:v>0</x:v>
      </x:c>
    </x:row>
    <x:row r="295">
      <x:c r="A295" s="7"/>
      <x:c r="B295" s="11"/>
      <x:c r="C295" s="7"/>
      <x:c r="D295" s="7"/>
      <x:c r="E295" s="7"/>
      <x:c r="F295" s="13"/>
      <x:c r="G295" s="13"/>
      <x:c r="H295" s="13"/>
      <x:c r="I295" s="7"/>
      <x:c r="J295" s="7"/>
      <x:c r="K295" s="9" t="str">
        <x:f>IF($B295="","",TEXT($B295,"yyyy-mm"))</x:f>
      </x:c>
      <x:c r="L295" s="9" t="str">
        <x:f>IF($E295="","",IFERROR(INDEX('계정과목'!$B$6:$B$56,MATCH($E295,'계정과목'!$A$6:$A$56,0)),"미등록"))</x:f>
      </x:c>
      <x:c r="M295" s="9" t="str">
        <x:f>IF($E295="","",IFERROR(INDEX('계정과목'!$C$6:$C$56,MATCH($E295,'계정과목'!$A$6:$A$56,0)),""))</x:f>
      </x:c>
      <x:c r="N295" s="9" t="str">
        <x:f>IF($E295="","",IFERROR(INDEX('계정과목'!$D$6:$D$56,MATCH($E295,'계정과목'!$A$6:$A$56,0)),""))</x:f>
      </x:c>
      <x:c r="O295" s="9" t="str">
        <x:f>IF($E295="","",IF(COUNTIF('계정과목'!$A$6:$A$56,$E295)=0,"미등록","정상"))</x:f>
      </x:c>
      <x:c r="P295" s="14" t="str">
        <x:f>IF($A295="","",ROUND(SUMIFS('전표'!$F$7:$F$306,'전표'!$A$7:$A$306,$A295)-SUMIFS('전표'!$G$7:$G$306,'전표'!$A$7:$A$306,$A295),0))</x:f>
      </x:c>
      <x:c r="Q295" s="14" t="n">
        <x:f>IF(ISNUMBER($P295),IF(ABS($P295)&gt;=1,1,0),0)</x:f>
        <x:v>0</x:v>
      </x:c>
    </x:row>
    <x:row r="296">
      <x:c r="A296" s="7"/>
      <x:c r="B296" s="11"/>
      <x:c r="C296" s="7"/>
      <x:c r="D296" s="7"/>
      <x:c r="E296" s="7"/>
      <x:c r="F296" s="13"/>
      <x:c r="G296" s="13"/>
      <x:c r="H296" s="13"/>
      <x:c r="I296" s="7"/>
      <x:c r="J296" s="7"/>
      <x:c r="K296" s="9" t="str">
        <x:f>IF($B296="","",TEXT($B296,"yyyy-mm"))</x:f>
      </x:c>
      <x:c r="L296" s="9" t="str">
        <x:f>IF($E296="","",IFERROR(INDEX('계정과목'!$B$6:$B$56,MATCH($E296,'계정과목'!$A$6:$A$56,0)),"미등록"))</x:f>
      </x:c>
      <x:c r="M296" s="9" t="str">
        <x:f>IF($E296="","",IFERROR(INDEX('계정과목'!$C$6:$C$56,MATCH($E296,'계정과목'!$A$6:$A$56,0)),""))</x:f>
      </x:c>
      <x:c r="N296" s="9" t="str">
        <x:f>IF($E296="","",IFERROR(INDEX('계정과목'!$D$6:$D$56,MATCH($E296,'계정과목'!$A$6:$A$56,0)),""))</x:f>
      </x:c>
      <x:c r="O296" s="9" t="str">
        <x:f>IF($E296="","",IF(COUNTIF('계정과목'!$A$6:$A$56,$E296)=0,"미등록","정상"))</x:f>
      </x:c>
      <x:c r="P296" s="14" t="str">
        <x:f>IF($A296="","",ROUND(SUMIFS('전표'!$F$7:$F$306,'전표'!$A$7:$A$306,$A296)-SUMIFS('전표'!$G$7:$G$306,'전표'!$A$7:$A$306,$A296),0))</x:f>
      </x:c>
      <x:c r="Q296" s="14" t="n">
        <x:f>IF(ISNUMBER($P296),IF(ABS($P296)&gt;=1,1,0),0)</x:f>
        <x:v>0</x:v>
      </x:c>
    </x:row>
    <x:row r="297">
      <x:c r="A297" s="7"/>
      <x:c r="B297" s="11"/>
      <x:c r="C297" s="7"/>
      <x:c r="D297" s="7"/>
      <x:c r="E297" s="7"/>
      <x:c r="F297" s="13"/>
      <x:c r="G297" s="13"/>
      <x:c r="H297" s="13"/>
      <x:c r="I297" s="7"/>
      <x:c r="J297" s="7"/>
      <x:c r="K297" s="9" t="str">
        <x:f>IF($B297="","",TEXT($B297,"yyyy-mm"))</x:f>
      </x:c>
      <x:c r="L297" s="9" t="str">
        <x:f>IF($E297="","",IFERROR(INDEX('계정과목'!$B$6:$B$56,MATCH($E297,'계정과목'!$A$6:$A$56,0)),"미등록"))</x:f>
      </x:c>
      <x:c r="M297" s="9" t="str">
        <x:f>IF($E297="","",IFERROR(INDEX('계정과목'!$C$6:$C$56,MATCH($E297,'계정과목'!$A$6:$A$56,0)),""))</x:f>
      </x:c>
      <x:c r="N297" s="9" t="str">
        <x:f>IF($E297="","",IFERROR(INDEX('계정과목'!$D$6:$D$56,MATCH($E297,'계정과목'!$A$6:$A$56,0)),""))</x:f>
      </x:c>
      <x:c r="O297" s="9" t="str">
        <x:f>IF($E297="","",IF(COUNTIF('계정과목'!$A$6:$A$56,$E297)=0,"미등록","정상"))</x:f>
      </x:c>
      <x:c r="P297" s="14" t="str">
        <x:f>IF($A297="","",ROUND(SUMIFS('전표'!$F$7:$F$306,'전표'!$A$7:$A$306,$A297)-SUMIFS('전표'!$G$7:$G$306,'전표'!$A$7:$A$306,$A297),0))</x:f>
      </x:c>
      <x:c r="Q297" s="14" t="n">
        <x:f>IF(ISNUMBER($P297),IF(ABS($P297)&gt;=1,1,0),0)</x:f>
        <x:v>0</x:v>
      </x:c>
    </x:row>
    <x:row r="298">
      <x:c r="A298" s="7"/>
      <x:c r="B298" s="11"/>
      <x:c r="C298" s="7"/>
      <x:c r="D298" s="7"/>
      <x:c r="E298" s="7"/>
      <x:c r="F298" s="13"/>
      <x:c r="G298" s="13"/>
      <x:c r="H298" s="13"/>
      <x:c r="I298" s="7"/>
      <x:c r="J298" s="7"/>
      <x:c r="K298" s="9" t="str">
        <x:f>IF($B298="","",TEXT($B298,"yyyy-mm"))</x:f>
      </x:c>
      <x:c r="L298" s="9" t="str">
        <x:f>IF($E298="","",IFERROR(INDEX('계정과목'!$B$6:$B$56,MATCH($E298,'계정과목'!$A$6:$A$56,0)),"미등록"))</x:f>
      </x:c>
      <x:c r="M298" s="9" t="str">
        <x:f>IF($E298="","",IFERROR(INDEX('계정과목'!$C$6:$C$56,MATCH($E298,'계정과목'!$A$6:$A$56,0)),""))</x:f>
      </x:c>
      <x:c r="N298" s="9" t="str">
        <x:f>IF($E298="","",IFERROR(INDEX('계정과목'!$D$6:$D$56,MATCH($E298,'계정과목'!$A$6:$A$56,0)),""))</x:f>
      </x:c>
      <x:c r="O298" s="9" t="str">
        <x:f>IF($E298="","",IF(COUNTIF('계정과목'!$A$6:$A$56,$E298)=0,"미등록","정상"))</x:f>
      </x:c>
      <x:c r="P298" s="14" t="str">
        <x:f>IF($A298="","",ROUND(SUMIFS('전표'!$F$7:$F$306,'전표'!$A$7:$A$306,$A298)-SUMIFS('전표'!$G$7:$G$306,'전표'!$A$7:$A$306,$A298),0))</x:f>
      </x:c>
      <x:c r="Q298" s="14" t="n">
        <x:f>IF(ISNUMBER($P298),IF(ABS($P298)&gt;=1,1,0),0)</x:f>
        <x:v>0</x:v>
      </x:c>
    </x:row>
    <x:row r="299">
      <x:c r="A299" s="7"/>
      <x:c r="B299" s="11"/>
      <x:c r="C299" s="7"/>
      <x:c r="D299" s="7"/>
      <x:c r="E299" s="7"/>
      <x:c r="F299" s="13"/>
      <x:c r="G299" s="13"/>
      <x:c r="H299" s="13"/>
      <x:c r="I299" s="7"/>
      <x:c r="J299" s="7"/>
      <x:c r="K299" s="9" t="str">
        <x:f>IF($B299="","",TEXT($B299,"yyyy-mm"))</x:f>
      </x:c>
      <x:c r="L299" s="9" t="str">
        <x:f>IF($E299="","",IFERROR(INDEX('계정과목'!$B$6:$B$56,MATCH($E299,'계정과목'!$A$6:$A$56,0)),"미등록"))</x:f>
      </x:c>
      <x:c r="M299" s="9" t="str">
        <x:f>IF($E299="","",IFERROR(INDEX('계정과목'!$C$6:$C$56,MATCH($E299,'계정과목'!$A$6:$A$56,0)),""))</x:f>
      </x:c>
      <x:c r="N299" s="9" t="str">
        <x:f>IF($E299="","",IFERROR(INDEX('계정과목'!$D$6:$D$56,MATCH($E299,'계정과목'!$A$6:$A$56,0)),""))</x:f>
      </x:c>
      <x:c r="O299" s="9" t="str">
        <x:f>IF($E299="","",IF(COUNTIF('계정과목'!$A$6:$A$56,$E299)=0,"미등록","정상"))</x:f>
      </x:c>
      <x:c r="P299" s="14" t="str">
        <x:f>IF($A299="","",ROUND(SUMIFS('전표'!$F$7:$F$306,'전표'!$A$7:$A$306,$A299)-SUMIFS('전표'!$G$7:$G$306,'전표'!$A$7:$A$306,$A299),0))</x:f>
      </x:c>
      <x:c r="Q299" s="14" t="n">
        <x:f>IF(ISNUMBER($P299),IF(ABS($P299)&gt;=1,1,0),0)</x:f>
        <x:v>0</x:v>
      </x:c>
    </x:row>
    <x:row r="300">
      <x:c r="A300" s="7"/>
      <x:c r="B300" s="11"/>
      <x:c r="C300" s="7"/>
      <x:c r="D300" s="7"/>
      <x:c r="E300" s="7"/>
      <x:c r="F300" s="13"/>
      <x:c r="G300" s="13"/>
      <x:c r="H300" s="13"/>
      <x:c r="I300" s="7"/>
      <x:c r="J300" s="7"/>
      <x:c r="K300" s="9" t="str">
        <x:f>IF($B300="","",TEXT($B300,"yyyy-mm"))</x:f>
      </x:c>
      <x:c r="L300" s="9" t="str">
        <x:f>IF($E300="","",IFERROR(INDEX('계정과목'!$B$6:$B$56,MATCH($E300,'계정과목'!$A$6:$A$56,0)),"미등록"))</x:f>
      </x:c>
      <x:c r="M300" s="9" t="str">
        <x:f>IF($E300="","",IFERROR(INDEX('계정과목'!$C$6:$C$56,MATCH($E300,'계정과목'!$A$6:$A$56,0)),""))</x:f>
      </x:c>
      <x:c r="N300" s="9" t="str">
        <x:f>IF($E300="","",IFERROR(INDEX('계정과목'!$D$6:$D$56,MATCH($E300,'계정과목'!$A$6:$A$56,0)),""))</x:f>
      </x:c>
      <x:c r="O300" s="9" t="str">
        <x:f>IF($E300="","",IF(COUNTIF('계정과목'!$A$6:$A$56,$E300)=0,"미등록","정상"))</x:f>
      </x:c>
      <x:c r="P300" s="14" t="str">
        <x:f>IF($A300="","",ROUND(SUMIFS('전표'!$F$7:$F$306,'전표'!$A$7:$A$306,$A300)-SUMIFS('전표'!$G$7:$G$306,'전표'!$A$7:$A$306,$A300),0))</x:f>
      </x:c>
      <x:c r="Q300" s="14" t="n">
        <x:f>IF(ISNUMBER($P300),IF(ABS($P300)&gt;=1,1,0),0)</x:f>
        <x:v>0</x:v>
      </x:c>
    </x:row>
    <x:row r="301">
      <x:c r="A301" s="7"/>
      <x:c r="B301" s="11"/>
      <x:c r="C301" s="7"/>
      <x:c r="D301" s="7"/>
      <x:c r="E301" s="7"/>
      <x:c r="F301" s="13"/>
      <x:c r="G301" s="13"/>
      <x:c r="H301" s="13"/>
      <x:c r="I301" s="7"/>
      <x:c r="J301" s="7"/>
      <x:c r="K301" s="9" t="str">
        <x:f>IF($B301="","",TEXT($B301,"yyyy-mm"))</x:f>
      </x:c>
      <x:c r="L301" s="9" t="str">
        <x:f>IF($E301="","",IFERROR(INDEX('계정과목'!$B$6:$B$56,MATCH($E301,'계정과목'!$A$6:$A$56,0)),"미등록"))</x:f>
      </x:c>
      <x:c r="M301" s="9" t="str">
        <x:f>IF($E301="","",IFERROR(INDEX('계정과목'!$C$6:$C$56,MATCH($E301,'계정과목'!$A$6:$A$56,0)),""))</x:f>
      </x:c>
      <x:c r="N301" s="9" t="str">
        <x:f>IF($E301="","",IFERROR(INDEX('계정과목'!$D$6:$D$56,MATCH($E301,'계정과목'!$A$6:$A$56,0)),""))</x:f>
      </x:c>
      <x:c r="O301" s="9" t="str">
        <x:f>IF($E301="","",IF(COUNTIF('계정과목'!$A$6:$A$56,$E301)=0,"미등록","정상"))</x:f>
      </x:c>
      <x:c r="P301" s="14" t="str">
        <x:f>IF($A301="","",ROUND(SUMIFS('전표'!$F$7:$F$306,'전표'!$A$7:$A$306,$A301)-SUMIFS('전표'!$G$7:$G$306,'전표'!$A$7:$A$306,$A301),0))</x:f>
      </x:c>
      <x:c r="Q301" s="14" t="n">
        <x:f>IF(ISNUMBER($P301),IF(ABS($P301)&gt;=1,1,0),0)</x:f>
        <x:v>0</x:v>
      </x:c>
    </x:row>
    <x:row r="302">
      <x:c r="A302" s="7"/>
      <x:c r="B302" s="11"/>
      <x:c r="C302" s="7"/>
      <x:c r="D302" s="7"/>
      <x:c r="E302" s="7"/>
      <x:c r="F302" s="13"/>
      <x:c r="G302" s="13"/>
      <x:c r="H302" s="13"/>
      <x:c r="I302" s="7"/>
      <x:c r="J302" s="7"/>
      <x:c r="K302" s="9" t="str">
        <x:f>IF($B302="","",TEXT($B302,"yyyy-mm"))</x:f>
      </x:c>
      <x:c r="L302" s="9" t="str">
        <x:f>IF($E302="","",IFERROR(INDEX('계정과목'!$B$6:$B$56,MATCH($E302,'계정과목'!$A$6:$A$56,0)),"미등록"))</x:f>
      </x:c>
      <x:c r="M302" s="9" t="str">
        <x:f>IF($E302="","",IFERROR(INDEX('계정과목'!$C$6:$C$56,MATCH($E302,'계정과목'!$A$6:$A$56,0)),""))</x:f>
      </x:c>
      <x:c r="N302" s="9" t="str">
        <x:f>IF($E302="","",IFERROR(INDEX('계정과목'!$D$6:$D$56,MATCH($E302,'계정과목'!$A$6:$A$56,0)),""))</x:f>
      </x:c>
      <x:c r="O302" s="9" t="str">
        <x:f>IF($E302="","",IF(COUNTIF('계정과목'!$A$6:$A$56,$E302)=0,"미등록","정상"))</x:f>
      </x:c>
      <x:c r="P302" s="14" t="str">
        <x:f>IF($A302="","",ROUND(SUMIFS('전표'!$F$7:$F$306,'전표'!$A$7:$A$306,$A302)-SUMIFS('전표'!$G$7:$G$306,'전표'!$A$7:$A$306,$A302),0))</x:f>
      </x:c>
      <x:c r="Q302" s="14" t="n">
        <x:f>IF(ISNUMBER($P302),IF(ABS($P302)&gt;=1,1,0),0)</x:f>
        <x:v>0</x:v>
      </x:c>
    </x:row>
    <x:row r="303">
      <x:c r="A303" s="7"/>
      <x:c r="B303" s="11"/>
      <x:c r="C303" s="7"/>
      <x:c r="D303" s="7"/>
      <x:c r="E303" s="7"/>
      <x:c r="F303" s="13"/>
      <x:c r="G303" s="13"/>
      <x:c r="H303" s="13"/>
      <x:c r="I303" s="7"/>
      <x:c r="J303" s="7"/>
      <x:c r="K303" s="9" t="str">
        <x:f>IF($B303="","",TEXT($B303,"yyyy-mm"))</x:f>
      </x:c>
      <x:c r="L303" s="9" t="str">
        <x:f>IF($E303="","",IFERROR(INDEX('계정과목'!$B$6:$B$56,MATCH($E303,'계정과목'!$A$6:$A$56,0)),"미등록"))</x:f>
      </x:c>
      <x:c r="M303" s="9" t="str">
        <x:f>IF($E303="","",IFERROR(INDEX('계정과목'!$C$6:$C$56,MATCH($E303,'계정과목'!$A$6:$A$56,0)),""))</x:f>
      </x:c>
      <x:c r="N303" s="9" t="str">
        <x:f>IF($E303="","",IFERROR(INDEX('계정과목'!$D$6:$D$56,MATCH($E303,'계정과목'!$A$6:$A$56,0)),""))</x:f>
      </x:c>
      <x:c r="O303" s="9" t="str">
        <x:f>IF($E303="","",IF(COUNTIF('계정과목'!$A$6:$A$56,$E303)=0,"미등록","정상"))</x:f>
      </x:c>
      <x:c r="P303" s="14" t="str">
        <x:f>IF($A303="","",ROUND(SUMIFS('전표'!$F$7:$F$306,'전표'!$A$7:$A$306,$A303)-SUMIFS('전표'!$G$7:$G$306,'전표'!$A$7:$A$306,$A303),0))</x:f>
      </x:c>
      <x:c r="Q303" s="14" t="n">
        <x:f>IF(ISNUMBER($P303),IF(ABS($P303)&gt;=1,1,0),0)</x:f>
        <x:v>0</x:v>
      </x:c>
    </x:row>
    <x:row r="304">
      <x:c r="A304" s="7"/>
      <x:c r="B304" s="11"/>
      <x:c r="C304" s="7"/>
      <x:c r="D304" s="7"/>
      <x:c r="E304" s="7"/>
      <x:c r="F304" s="13"/>
      <x:c r="G304" s="13"/>
      <x:c r="H304" s="13"/>
      <x:c r="I304" s="7"/>
      <x:c r="J304" s="7"/>
      <x:c r="K304" s="9" t="str">
        <x:f>IF($B304="","",TEXT($B304,"yyyy-mm"))</x:f>
      </x:c>
      <x:c r="L304" s="9" t="str">
        <x:f>IF($E304="","",IFERROR(INDEX('계정과목'!$B$6:$B$56,MATCH($E304,'계정과목'!$A$6:$A$56,0)),"미등록"))</x:f>
      </x:c>
      <x:c r="M304" s="9" t="str">
        <x:f>IF($E304="","",IFERROR(INDEX('계정과목'!$C$6:$C$56,MATCH($E304,'계정과목'!$A$6:$A$56,0)),""))</x:f>
      </x:c>
      <x:c r="N304" s="9" t="str">
        <x:f>IF($E304="","",IFERROR(INDEX('계정과목'!$D$6:$D$56,MATCH($E304,'계정과목'!$A$6:$A$56,0)),""))</x:f>
      </x:c>
      <x:c r="O304" s="9" t="str">
        <x:f>IF($E304="","",IF(COUNTIF('계정과목'!$A$6:$A$56,$E304)=0,"미등록","정상"))</x:f>
      </x:c>
      <x:c r="P304" s="14" t="str">
        <x:f>IF($A304="","",ROUND(SUMIFS('전표'!$F$7:$F$306,'전표'!$A$7:$A$306,$A304)-SUMIFS('전표'!$G$7:$G$306,'전표'!$A$7:$A$306,$A304),0))</x:f>
      </x:c>
      <x:c r="Q304" s="14" t="n">
        <x:f>IF(ISNUMBER($P304),IF(ABS($P304)&gt;=1,1,0),0)</x:f>
        <x:v>0</x:v>
      </x:c>
    </x:row>
    <x:row r="305">
      <x:c r="A305" s="7"/>
      <x:c r="B305" s="11"/>
      <x:c r="C305" s="7"/>
      <x:c r="D305" s="7"/>
      <x:c r="E305" s="7"/>
      <x:c r="F305" s="13"/>
      <x:c r="G305" s="13"/>
      <x:c r="H305" s="13"/>
      <x:c r="I305" s="7"/>
      <x:c r="J305" s="7"/>
      <x:c r="K305" s="9" t="str">
        <x:f>IF($B305="","",TEXT($B305,"yyyy-mm"))</x:f>
      </x:c>
      <x:c r="L305" s="9" t="str">
        <x:f>IF($E305="","",IFERROR(INDEX('계정과목'!$B$6:$B$56,MATCH($E305,'계정과목'!$A$6:$A$56,0)),"미등록"))</x:f>
      </x:c>
      <x:c r="M305" s="9" t="str">
        <x:f>IF($E305="","",IFERROR(INDEX('계정과목'!$C$6:$C$56,MATCH($E305,'계정과목'!$A$6:$A$56,0)),""))</x:f>
      </x:c>
      <x:c r="N305" s="9" t="str">
        <x:f>IF($E305="","",IFERROR(INDEX('계정과목'!$D$6:$D$56,MATCH($E305,'계정과목'!$A$6:$A$56,0)),""))</x:f>
      </x:c>
      <x:c r="O305" s="9" t="str">
        <x:f>IF($E305="","",IF(COUNTIF('계정과목'!$A$6:$A$56,$E305)=0,"미등록","정상"))</x:f>
      </x:c>
      <x:c r="P305" s="14" t="str">
        <x:f>IF($A305="","",ROUND(SUMIFS('전표'!$F$7:$F$306,'전표'!$A$7:$A$306,$A305)-SUMIFS('전표'!$G$7:$G$306,'전표'!$A$7:$A$306,$A305),0))</x:f>
      </x:c>
      <x:c r="Q305" s="14" t="n">
        <x:f>IF(ISNUMBER($P305),IF(ABS($P305)&gt;=1,1,0),0)</x:f>
        <x:v>0</x:v>
      </x:c>
    </x:row>
    <x:row r="306">
      <x:c r="A306" s="7"/>
      <x:c r="B306" s="11"/>
      <x:c r="C306" s="7"/>
      <x:c r="D306" s="7"/>
      <x:c r="E306" s="7"/>
      <x:c r="F306" s="13"/>
      <x:c r="G306" s="13"/>
      <x:c r="H306" s="13"/>
      <x:c r="I306" s="7"/>
      <x:c r="J306" s="7"/>
      <x:c r="K306" s="9" t="str">
        <x:f>IF($B306="","",TEXT($B306,"yyyy-mm"))</x:f>
      </x:c>
      <x:c r="L306" s="9" t="str">
        <x:f>IF($E306="","",IFERROR(INDEX('계정과목'!$B$6:$B$56,MATCH($E306,'계정과목'!$A$6:$A$56,0)),"미등록"))</x:f>
      </x:c>
      <x:c r="M306" s="9" t="str">
        <x:f>IF($E306="","",IFERROR(INDEX('계정과목'!$C$6:$C$56,MATCH($E306,'계정과목'!$A$6:$A$56,0)),""))</x:f>
      </x:c>
      <x:c r="N306" s="9" t="str">
        <x:f>IF($E306="","",IFERROR(INDEX('계정과목'!$D$6:$D$56,MATCH($E306,'계정과목'!$A$6:$A$56,0)),""))</x:f>
      </x:c>
      <x:c r="O306" s="9" t="str">
        <x:f>IF($E306="","",IF(COUNTIF('계정과목'!$A$6:$A$56,$E306)=0,"미등록","정상"))</x:f>
      </x:c>
      <x:c r="P306" s="14" t="str">
        <x:f>IF($A306="","",ROUND(SUMIFS('전표'!$F$7:$F$306,'전표'!$A$7:$A$306,$A306)-SUMIFS('전표'!$G$7:$G$306,'전표'!$A$7:$A$306,$A306),0))</x:f>
      </x:c>
      <x:c r="Q306" s="14" t="n">
        <x:f>IF(ISNUMBER($P306),IF(ABS($P306)&gt;=1,1,0),0)</x:f>
        <x:v>0</x:v>
      </x:c>
    </x:row>
  </x:sheetData>
  <x:dataValidations count="2">
    <x:dataValidation type="list" sqref="C7:C306">
      <x:formula1>"세금계산서,계산서,현금영수증,카드전표,무증빙,기타"</x:formula1>
    </x:dataValidation>
    <x:dataValidation type="list" sqref="E7:E306">
      <x:formula1>'계정과목'!$A$6:$A$56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0" hidden="0" customWidth="1"/>
    <x:col min="4" max="4" width="13" hidden="0" customWidth="1"/>
  </x:cols>
  <x:sheetData>
    <x:row r="2">
      <x:c r="A2" s="1" t="str">
        <x:v>계정과목</x:v>
      </x:c>
    </x:row>
    <x:row r="3">
      <x:c r="A3" s="2" t="str">
        <x:v>유형은 자산·부채·자본·수익·비용, 부가세구분은 과세·면세·불공제·해당없음 중 하나입니다.</x:v>
      </x:c>
    </x:row>
    <x:row r="5">
      <x:c r="A5" s="6" t="str">
        <x:v>코드</x:v>
      </x:c>
      <x:c r="B5" s="6" t="str">
        <x:v>계정명</x:v>
      </x:c>
      <x:c r="C5" s="6" t="str">
        <x:v>유형</x:v>
      </x:c>
      <x:c r="D5" s="6" t="str">
        <x:v>부가세구분</x:v>
      </x:c>
    </x:row>
    <x:row r="6">
      <x:c r="A6" s="7" t="str">
        <x:v>101</x:v>
      </x:c>
      <x:c r="B6" s="7" t="str">
        <x:v>현금</x:v>
      </x:c>
      <x:c r="C6" s="8" t="str">
        <x:v>자산</x:v>
      </x:c>
      <x:c r="D6" s="8" t="str">
        <x:v>해당없음</x:v>
      </x:c>
    </x:row>
    <x:row r="7">
      <x:c r="A7" s="7" t="str">
        <x:v>102</x:v>
      </x:c>
      <x:c r="B7" s="7" t="str">
        <x:v>보통예금</x:v>
      </x:c>
      <x:c r="C7" s="8" t="str">
        <x:v>자산</x:v>
      </x:c>
      <x:c r="D7" s="8" t="str">
        <x:v>해당없음</x:v>
      </x:c>
    </x:row>
    <x:row r="8">
      <x:c r="A8" s="7" t="str">
        <x:v>103</x:v>
      </x:c>
      <x:c r="B8" s="7" t="str">
        <x:v>카드매출미정산금</x:v>
      </x:c>
      <x:c r="C8" s="8" t="str">
        <x:v>자산</x:v>
      </x:c>
      <x:c r="D8" s="8" t="str">
        <x:v>해당없음</x:v>
      </x:c>
    </x:row>
    <x:row r="9">
      <x:c r="A9" s="7" t="str">
        <x:v>120</x:v>
      </x:c>
      <x:c r="B9" s="7" t="str">
        <x:v>외상매출금</x:v>
      </x:c>
      <x:c r="C9" s="8" t="str">
        <x:v>자산</x:v>
      </x:c>
      <x:c r="D9" s="8" t="str">
        <x:v>해당없음</x:v>
      </x:c>
    </x:row>
    <x:row r="10">
      <x:c r="A10" s="7" t="str">
        <x:v>135</x:v>
      </x:c>
      <x:c r="B10" s="7" t="str">
        <x:v>부가세대급금</x:v>
      </x:c>
      <x:c r="C10" s="8" t="str">
        <x:v>자산</x:v>
      </x:c>
      <x:c r="D10" s="8" t="str">
        <x:v>해당없음</x:v>
      </x:c>
    </x:row>
    <x:row r="11">
      <x:c r="A11" s="7" t="str">
        <x:v>141</x:v>
      </x:c>
      <x:c r="B11" s="7" t="str">
        <x:v>미수금</x:v>
      </x:c>
      <x:c r="C11" s="8" t="str">
        <x:v>자산</x:v>
      </x:c>
      <x:c r="D11" s="8" t="str">
        <x:v>해당없음</x:v>
      </x:c>
    </x:row>
    <x:row r="12">
      <x:c r="A12" s="7" t="str">
        <x:v>150</x:v>
      </x:c>
      <x:c r="B12" s="7" t="str">
        <x:v>상품</x:v>
      </x:c>
      <x:c r="C12" s="8" t="str">
        <x:v>자산</x:v>
      </x:c>
      <x:c r="D12" s="8" t="str">
        <x:v>과세</x:v>
      </x:c>
    </x:row>
    <x:row r="13">
      <x:c r="A13" s="7" t="str">
        <x:v>160</x:v>
      </x:c>
      <x:c r="B13" s="7" t="str">
        <x:v>비품</x:v>
      </x:c>
      <x:c r="C13" s="8" t="str">
        <x:v>자산</x:v>
      </x:c>
      <x:c r="D13" s="8" t="str">
        <x:v>과세</x:v>
      </x:c>
    </x:row>
    <x:row r="14">
      <x:c r="A14" s="7" t="str">
        <x:v>165</x:v>
      </x:c>
      <x:c r="B14" s="7" t="str">
        <x:v>시설장치</x:v>
      </x:c>
      <x:c r="C14" s="8" t="str">
        <x:v>자산</x:v>
      </x:c>
      <x:c r="D14" s="8" t="str">
        <x:v>과세</x:v>
      </x:c>
    </x:row>
    <x:row r="15">
      <x:c r="A15" s="7" t="str">
        <x:v>170</x:v>
      </x:c>
      <x:c r="B15" s="7" t="str">
        <x:v>감가상각누계액</x:v>
      </x:c>
      <x:c r="C15" s="8" t="str">
        <x:v>자산</x:v>
      </x:c>
      <x:c r="D15" s="8" t="str">
        <x:v>해당없음</x:v>
      </x:c>
    </x:row>
    <x:row r="16">
      <x:c r="A16" s="7" t="str">
        <x:v>180</x:v>
      </x:c>
      <x:c r="B16" s="7" t="str">
        <x:v>임차보증금</x:v>
      </x:c>
      <x:c r="C16" s="8" t="str">
        <x:v>자산</x:v>
      </x:c>
      <x:c r="D16" s="8" t="str">
        <x:v>해당없음</x:v>
      </x:c>
    </x:row>
    <x:row r="17">
      <x:c r="A17" s="7" t="str">
        <x:v>190</x:v>
      </x:c>
      <x:c r="B17" s="7" t="str">
        <x:v>선급비용</x:v>
      </x:c>
      <x:c r="C17" s="8" t="str">
        <x:v>자산</x:v>
      </x:c>
      <x:c r="D17" s="8" t="str">
        <x:v>과세</x:v>
      </x:c>
    </x:row>
    <x:row r="18">
      <x:c r="A18" s="7" t="str">
        <x:v>201</x:v>
      </x:c>
      <x:c r="B18" s="7" t="str">
        <x:v>외상매입금</x:v>
      </x:c>
      <x:c r="C18" s="8" t="str">
        <x:v>부채</x:v>
      </x:c>
      <x:c r="D18" s="8" t="str">
        <x:v>해당없음</x:v>
      </x:c>
    </x:row>
    <x:row r="19">
      <x:c r="A19" s="7" t="str">
        <x:v>202</x:v>
      </x:c>
      <x:c r="B19" s="7" t="str">
        <x:v>미지급금</x:v>
      </x:c>
      <x:c r="C19" s="8" t="str">
        <x:v>부채</x:v>
      </x:c>
      <x:c r="D19" s="8" t="str">
        <x:v>해당없음</x:v>
      </x:c>
    </x:row>
    <x:row r="20">
      <x:c r="A20" s="7" t="str">
        <x:v>203</x:v>
      </x:c>
      <x:c r="B20" s="7" t="str">
        <x:v>미지급비용</x:v>
      </x:c>
      <x:c r="C20" s="8" t="str">
        <x:v>부채</x:v>
      </x:c>
      <x:c r="D20" s="8" t="str">
        <x:v>해당없음</x:v>
      </x:c>
    </x:row>
    <x:row r="21">
      <x:c r="A21" s="7" t="str">
        <x:v>210</x:v>
      </x:c>
      <x:c r="B21" s="7" t="str">
        <x:v>예수금(4대보험·원천세)</x:v>
      </x:c>
      <x:c r="C21" s="8" t="str">
        <x:v>부채</x:v>
      </x:c>
      <x:c r="D21" s="8" t="str">
        <x:v>해당없음</x:v>
      </x:c>
    </x:row>
    <x:row r="22">
      <x:c r="A22" s="7" t="str">
        <x:v>220</x:v>
      </x:c>
      <x:c r="B22" s="7" t="str">
        <x:v>부가세예수금</x:v>
      </x:c>
      <x:c r="C22" s="8" t="str">
        <x:v>부채</x:v>
      </x:c>
      <x:c r="D22" s="8" t="str">
        <x:v>해당없음</x:v>
      </x:c>
    </x:row>
    <x:row r="23">
      <x:c r="A23" s="7" t="str">
        <x:v>230</x:v>
      </x:c>
      <x:c r="B23" s="7" t="str">
        <x:v>선수금</x:v>
      </x:c>
      <x:c r="C23" s="8" t="str">
        <x:v>부채</x:v>
      </x:c>
      <x:c r="D23" s="8" t="str">
        <x:v>해당없음</x:v>
      </x:c>
    </x:row>
    <x:row r="24">
      <x:c r="A24" s="7" t="str">
        <x:v>240</x:v>
      </x:c>
      <x:c r="B24" s="7" t="str">
        <x:v>단기차입금</x:v>
      </x:c>
      <x:c r="C24" s="8" t="str">
        <x:v>부채</x:v>
      </x:c>
      <x:c r="D24" s="8" t="str">
        <x:v>해당없음</x:v>
      </x:c>
    </x:row>
    <x:row r="25">
      <x:c r="A25" s="7" t="str">
        <x:v>250</x:v>
      </x:c>
      <x:c r="B25" s="7" t="str">
        <x:v>퇴직급여충당부채</x:v>
      </x:c>
      <x:c r="C25" s="8" t="str">
        <x:v>부채</x:v>
      </x:c>
      <x:c r="D25" s="8" t="str">
        <x:v>해당없음</x:v>
      </x:c>
    </x:row>
    <x:row r="26">
      <x:c r="A26" s="7" t="str">
        <x:v>301</x:v>
      </x:c>
      <x:c r="B26" s="7" t="str">
        <x:v>자본금</x:v>
      </x:c>
      <x:c r="C26" s="8" t="str">
        <x:v>자본</x:v>
      </x:c>
      <x:c r="D26" s="8" t="str">
        <x:v>해당없음</x:v>
      </x:c>
    </x:row>
    <x:row r="27">
      <x:c r="A27" s="7" t="str">
        <x:v>302</x:v>
      </x:c>
      <x:c r="B27" s="7" t="str">
        <x:v>인출금</x:v>
      </x:c>
      <x:c r="C27" s="8" t="str">
        <x:v>자본</x:v>
      </x:c>
      <x:c r="D27" s="8" t="str">
        <x:v>해당없음</x:v>
      </x:c>
    </x:row>
    <x:row r="28">
      <x:c r="A28" s="7" t="str">
        <x:v>310</x:v>
      </x:c>
      <x:c r="B28" s="7" t="str">
        <x:v>이월결손금</x:v>
      </x:c>
      <x:c r="C28" s="8" t="str">
        <x:v>자본</x:v>
      </x:c>
      <x:c r="D28" s="8" t="str">
        <x:v>해당없음</x:v>
      </x:c>
    </x:row>
    <x:row r="29">
      <x:c r="A29" s="7" t="str">
        <x:v>320</x:v>
      </x:c>
      <x:c r="B29" s="7" t="str">
        <x:v>당기순손익</x:v>
      </x:c>
      <x:c r="C29" s="8" t="str">
        <x:v>자본</x:v>
      </x:c>
      <x:c r="D29" s="8" t="str">
        <x:v>해당없음</x:v>
      </x:c>
    </x:row>
    <x:row r="30">
      <x:c r="A30" s="7" t="str">
        <x:v>401</x:v>
      </x:c>
      <x:c r="B30" s="7" t="str">
        <x:v>체험·입장료수입</x:v>
      </x:c>
      <x:c r="C30" s="8" t="str">
        <x:v>수익</x:v>
      </x:c>
      <x:c r="D30" s="8" t="str">
        <x:v>과세</x:v>
      </x:c>
    </x:row>
    <x:row r="31">
      <x:c r="A31" s="7" t="str">
        <x:v>402</x:v>
      </x:c>
      <x:c r="B31" s="7" t="str">
        <x:v>프로그램·교육수입</x:v>
      </x:c>
      <x:c r="C31" s="8" t="str">
        <x:v>수익</x:v>
      </x:c>
      <x:c r="D31" s="8" t="str">
        <x:v>과세</x:v>
      </x:c>
    </x:row>
    <x:row r="32">
      <x:c r="A32" s="7" t="str">
        <x:v>403</x:v>
      </x:c>
      <x:c r="B32" s="7" t="str">
        <x:v>매점매출</x:v>
      </x:c>
      <x:c r="C32" s="8" t="str">
        <x:v>수익</x:v>
      </x:c>
      <x:c r="D32" s="8" t="str">
        <x:v>과세</x:v>
      </x:c>
    </x:row>
    <x:row r="33">
      <x:c r="A33" s="7" t="str">
        <x:v>404</x:v>
      </x:c>
      <x:c r="B33" s="7" t="str">
        <x:v>임대수입</x:v>
      </x:c>
      <x:c r="C33" s="8" t="str">
        <x:v>수익</x:v>
      </x:c>
      <x:c r="D33" s="8" t="str">
        <x:v>과세</x:v>
      </x:c>
    </x:row>
    <x:row r="34">
      <x:c r="A34" s="7" t="str">
        <x:v>405</x:v>
      </x:c>
      <x:c r="B34" s="7" t="str">
        <x:v>이자수입</x:v>
      </x:c>
      <x:c r="C34" s="8" t="str">
        <x:v>수익</x:v>
      </x:c>
      <x:c r="D34" s="8" t="str">
        <x:v>면세</x:v>
      </x:c>
    </x:row>
    <x:row r="35">
      <x:c r="A35" s="7" t="str">
        <x:v>410</x:v>
      </x:c>
      <x:c r="B35" s="7" t="str">
        <x:v>잡이익</x:v>
      </x:c>
      <x:c r="C35" s="8" t="str">
        <x:v>수익</x:v>
      </x:c>
      <x:c r="D35" s="8" t="str">
        <x:v>과세</x:v>
      </x:c>
    </x:row>
    <x:row r="36">
      <x:c r="A36" s="7" t="str">
        <x:v>501</x:v>
      </x:c>
      <x:c r="B36" s="7" t="str">
        <x:v>급여</x:v>
      </x:c>
      <x:c r="C36" s="8" t="str">
        <x:v>비용</x:v>
      </x:c>
      <x:c r="D36" s="8" t="str">
        <x:v>해당없음</x:v>
      </x:c>
    </x:row>
    <x:row r="37">
      <x:c r="A37" s="7" t="str">
        <x:v>502</x:v>
      </x:c>
      <x:c r="B37" s="7" t="str">
        <x:v>상여금</x:v>
      </x:c>
      <x:c r="C37" s="8" t="str">
        <x:v>비용</x:v>
      </x:c>
      <x:c r="D37" s="8" t="str">
        <x:v>해당없음</x:v>
      </x:c>
    </x:row>
    <x:row r="38">
      <x:c r="A38" s="7" t="str">
        <x:v>503</x:v>
      </x:c>
      <x:c r="B38" s="7" t="str">
        <x:v>퇴직급여</x:v>
      </x:c>
      <x:c r="C38" s="8" t="str">
        <x:v>비용</x:v>
      </x:c>
      <x:c r="D38" s="8" t="str">
        <x:v>해당없음</x:v>
      </x:c>
    </x:row>
    <x:row r="39">
      <x:c r="A39" s="7" t="str">
        <x:v>504</x:v>
      </x:c>
      <x:c r="B39" s="7" t="str">
        <x:v>4대보험료(사업주부담)</x:v>
      </x:c>
      <x:c r="C39" s="8" t="str">
        <x:v>비용</x:v>
      </x:c>
      <x:c r="D39" s="8" t="str">
        <x:v>해당없음</x:v>
      </x:c>
    </x:row>
    <x:row r="40">
      <x:c r="A40" s="7" t="str">
        <x:v>510</x:v>
      </x:c>
      <x:c r="B40" s="7" t="str">
        <x:v>임차료</x:v>
      </x:c>
      <x:c r="C40" s="8" t="str">
        <x:v>비용</x:v>
      </x:c>
      <x:c r="D40" s="8" t="str">
        <x:v>과세</x:v>
      </x:c>
    </x:row>
    <x:row r="41">
      <x:c r="A41" s="7" t="str">
        <x:v>511</x:v>
      </x:c>
      <x:c r="B41" s="7" t="str">
        <x:v>수도광열비</x:v>
      </x:c>
      <x:c r="C41" s="8" t="str">
        <x:v>비용</x:v>
      </x:c>
      <x:c r="D41" s="8" t="str">
        <x:v>과세</x:v>
      </x:c>
    </x:row>
    <x:row r="42">
      <x:c r="A42" s="7" t="str">
        <x:v>512</x:v>
      </x:c>
      <x:c r="B42" s="7" t="str">
        <x:v>통신비</x:v>
      </x:c>
      <x:c r="C42" s="8" t="str">
        <x:v>비용</x:v>
      </x:c>
      <x:c r="D42" s="8" t="str">
        <x:v>과세</x:v>
      </x:c>
    </x:row>
    <x:row r="43">
      <x:c r="A43" s="7" t="str">
        <x:v>513</x:v>
      </x:c>
      <x:c r="B43" s="7" t="str">
        <x:v>보험료</x:v>
      </x:c>
      <x:c r="C43" s="8" t="str">
        <x:v>비용</x:v>
      </x:c>
      <x:c r="D43" s="8" t="str">
        <x:v>불공제</x:v>
      </x:c>
    </x:row>
    <x:row r="44">
      <x:c r="A44" s="7" t="str">
        <x:v>514</x:v>
      </x:c>
      <x:c r="B44" s="7" t="str">
        <x:v>세금과공과</x:v>
      </x:c>
      <x:c r="C44" s="8" t="str">
        <x:v>비용</x:v>
      </x:c>
      <x:c r="D44" s="8" t="str">
        <x:v>불공제</x:v>
      </x:c>
    </x:row>
    <x:row r="45">
      <x:c r="A45" s="7" t="str">
        <x:v>515</x:v>
      </x:c>
      <x:c r="B45" s="7" t="str">
        <x:v>지급수수료(결제·카드)</x:v>
      </x:c>
      <x:c r="C45" s="8" t="str">
        <x:v>비용</x:v>
      </x:c>
      <x:c r="D45" s="8" t="str">
        <x:v>불공제</x:v>
      </x:c>
    </x:row>
    <x:row r="46">
      <x:c r="A46" s="7" t="str">
        <x:v>516</x:v>
      </x:c>
      <x:c r="B46" s="7" t="str">
        <x:v>소모품비</x:v>
      </x:c>
      <x:c r="C46" s="8" t="str">
        <x:v>비용</x:v>
      </x:c>
      <x:c r="D46" s="8" t="str">
        <x:v>과세</x:v>
      </x:c>
    </x:row>
    <x:row r="47">
      <x:c r="A47" s="7" t="str">
        <x:v>517</x:v>
      </x:c>
      <x:c r="B47" s="7" t="str">
        <x:v>여비교통비</x:v>
      </x:c>
      <x:c r="C47" s="8" t="str">
        <x:v>비용</x:v>
      </x:c>
      <x:c r="D47" s="8" t="str">
        <x:v>과세</x:v>
      </x:c>
    </x:row>
    <x:row r="48">
      <x:c r="A48" s="7" t="str">
        <x:v>518</x:v>
      </x:c>
      <x:c r="B48" s="7" t="str">
        <x:v>차량유지비</x:v>
      </x:c>
      <x:c r="C48" s="8" t="str">
        <x:v>비용</x:v>
      </x:c>
      <x:c r="D48" s="8" t="str">
        <x:v>과세</x:v>
      </x:c>
    </x:row>
    <x:row r="49">
      <x:c r="A49" s="7" t="str">
        <x:v>519</x:v>
      </x:c>
      <x:c r="B49" s="7" t="str">
        <x:v>광고선전비</x:v>
      </x:c>
      <x:c r="C49" s="8" t="str">
        <x:v>비용</x:v>
      </x:c>
      <x:c r="D49" s="8" t="str">
        <x:v>과세</x:v>
      </x:c>
    </x:row>
    <x:row r="50">
      <x:c r="A50" s="7" t="str">
        <x:v>520</x:v>
      </x:c>
      <x:c r="B50" s="7" t="str">
        <x:v>접대비</x:v>
      </x:c>
      <x:c r="C50" s="8" t="str">
        <x:v>비용</x:v>
      </x:c>
      <x:c r="D50" s="8" t="str">
        <x:v>불공제</x:v>
      </x:c>
    </x:row>
    <x:row r="51">
      <x:c r="A51" s="7" t="str">
        <x:v>521</x:v>
      </x:c>
      <x:c r="B51" s="7" t="str">
        <x:v>교육훈련비</x:v>
      </x:c>
      <x:c r="C51" s="8" t="str">
        <x:v>비용</x:v>
      </x:c>
      <x:c r="D51" s="8" t="str">
        <x:v>과세</x:v>
      </x:c>
    </x:row>
    <x:row r="52">
      <x:c r="A52" s="7" t="str">
        <x:v>522</x:v>
      </x:c>
      <x:c r="B52" s="7" t="str">
        <x:v>수선비</x:v>
      </x:c>
      <x:c r="C52" s="8" t="str">
        <x:v>비용</x:v>
      </x:c>
      <x:c r="D52" s="8" t="str">
        <x:v>과세</x:v>
      </x:c>
    </x:row>
    <x:row r="53">
      <x:c r="A53" s="7" t="str">
        <x:v>523</x:v>
      </x:c>
      <x:c r="B53" s="7" t="str">
        <x:v>외주용역비</x:v>
      </x:c>
      <x:c r="C53" s="8" t="str">
        <x:v>비용</x:v>
      </x:c>
      <x:c r="D53" s="8" t="str">
        <x:v>과세</x:v>
      </x:c>
    </x:row>
    <x:row r="54">
      <x:c r="A54" s="7" t="str">
        <x:v>524</x:v>
      </x:c>
      <x:c r="B54" s="7" t="str">
        <x:v>감가상각비</x:v>
      </x:c>
      <x:c r="C54" s="8" t="str">
        <x:v>비용</x:v>
      </x:c>
      <x:c r="D54" s="8" t="str">
        <x:v>해당없음</x:v>
      </x:c>
    </x:row>
    <x:row r="55">
      <x:c r="A55" s="7" t="str">
        <x:v>530</x:v>
      </x:c>
      <x:c r="B55" s="7" t="str">
        <x:v>잡비</x:v>
      </x:c>
      <x:c r="C55" s="8" t="str">
        <x:v>비용</x:v>
      </x:c>
      <x:c r="D55" s="8" t="str">
        <x:v>불공제</x:v>
      </x:c>
    </x:row>
    <x:row r="56">
      <x:c r="A56" s="7" t="str">
        <x:v>540</x:v>
      </x:c>
      <x:c r="B56" s="7" t="str">
        <x:v>이자비용</x:v>
      </x:c>
      <x:c r="C56" s="8" t="str">
        <x:v>비용</x:v>
      </x:c>
      <x:c r="D56" s="8" t="str">
        <x:v>불공제</x:v>
      </x:c>
    </x:row>
  </x:sheetData>
  <x:dataValidations count="2">
    <x:dataValidation type="list" sqref="C6:C56">
      <x:formula1>"자산,부채,자본,수익,비용"</x:formula1>
    </x:dataValidation>
    <x:dataValidation type="list" sqref="D6:D56">
      <x:formula1>"과세,면세,불공제,해당없음"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2" hidden="0" customWidth="1"/>
    <x:col min="4" max="4" width="14" hidden="0" customWidth="1"/>
  </x:cols>
  <x:sheetData>
    <x:row r="2">
      <x:c r="A2" s="1" t="str">
        <x:v>검증</x:v>
      </x:c>
    </x:row>
    <x:row r="3">
      <x:c r="A3" s="2" t="str">
        <x:v>입력한 전표를 자동으로 진단합니다. 이 시트는 값을 바꾸지 않습니다.</x:v>
      </x:c>
    </x:row>
    <x:row r="4">
      <x:c r="A4" s="16" t="str">
        <x:v>확인 필요 항목 수</x:v>
      </x:c>
      <x:c r="C4" s="21" t="n">
        <x:f>COUNTIF($D$7:$D$15,"확인 필요")</x:f>
        <x:v>0</x:v>
      </x:c>
      <x:c r="D4" s="16" t="str">
        <x:f>IF(C4=0,"정상","확인 필요")</x:f>
        <x:v>정상</x:v>
      </x:c>
    </x:row>
    <x:row r="6">
      <x:c r="A6" s="6" t="str">
        <x:v>항목</x:v>
      </x:c>
      <x:c r="B6" s="6" t="str">
        <x:v>기준</x:v>
      </x:c>
      <x:c r="C6" s="6" t="str">
        <x:v>결과</x:v>
      </x:c>
      <x:c r="D6" s="6" t="str">
        <x:v>판정</x:v>
      </x:c>
    </x:row>
    <x:row r="7">
      <x:c r="A7" s="27" t="str">
        <x:v>대차평형 차액 (총차변 - 총대변)</x:v>
      </x:c>
      <x:c r="B7" s="8" t="n">
        <x:v>0</x:v>
      </x:c>
      <x:c r="C7" s="28" t="n">
        <x:f>'시산표'!$B$9</x:f>
        <x:v>0</x:v>
      </x:c>
      <x:c r="D7" s="8" t="str">
        <x:f>IF(C7=0,"정상","확인 필요")</x:f>
        <x:v>정상</x:v>
      </x:c>
    </x:row>
    <x:row r="8">
      <x:c r="A8" s="27" t="str">
        <x:v>전표별 차대 불일치 전표 행</x:v>
      </x:c>
      <x:c r="B8" s="8" t="n">
        <x:v>0</x:v>
      </x:c>
      <x:c r="C8" s="28" t="n">
        <x:f>SUM('전표'!$Q$7:$Q$306)</x:f>
        <x:v>0</x:v>
      </x:c>
      <x:c r="D8" s="8" t="str">
        <x:f>IF(C8=0,"정상","확인 필요")</x:f>
        <x:v>정상</x:v>
      </x:c>
    </x:row>
    <x:row r="9">
      <x:c r="A9" s="27" t="str">
        <x:v>차변·대변 동시 입력 행</x:v>
      </x:c>
      <x:c r="B9" s="8" t="n">
        <x:v>0</x:v>
      </x:c>
      <x:c r="C9" s="28" t="n">
        <x:f>SUMPRODUCT(('전표'!$F$7:$F$306&lt;&gt;"")*('전표'!$G$7:$G$306&lt;&gt;"")*1)</x:f>
        <x:v>0</x:v>
      </x:c>
      <x:c r="D9" s="8" t="str">
        <x:f>IF(C9=0,"정상","확인 필요")</x:f>
        <x:v>정상</x:v>
      </x:c>
    </x:row>
    <x:row r="10">
      <x:c r="A10" s="27" t="str">
        <x:v>적요만 있고 금액 없는 행</x:v>
      </x:c>
      <x:c r="B10" s="8" t="n">
        <x:v>0</x:v>
      </x:c>
      <x:c r="C10" s="28" t="n">
        <x:f>SUMPRODUCT(('전표'!$D$7:$D$306&lt;&gt;"")*('전표'!$F$7:$F$306="")*('전표'!$G$7:$G$306="")*1)</x:f>
        <x:v>0</x:v>
      </x:c>
      <x:c r="D10" s="8" t="str">
        <x:f>IF(C10=0,"정상","확인 필요")</x:f>
        <x:v>정상</x:v>
      </x:c>
    </x:row>
    <x:row r="11">
      <x:c r="A11" s="27" t="str">
        <x:v>미등록 계정코드 행</x:v>
      </x:c>
      <x:c r="B11" s="8" t="n">
        <x:v>0</x:v>
      </x:c>
      <x:c r="C11" s="28" t="n">
        <x:f>COUNTIF('전표'!$O$7:$O$306,"미등록")</x:f>
        <x:v>0</x:v>
      </x:c>
      <x:c r="D11" s="8" t="str">
        <x:f>IF(C11=0,"정상","확인 필요")</x:f>
        <x:v>정상</x:v>
      </x:c>
    </x:row>
    <x:row r="12">
      <x:c r="A12" s="27" t="str">
        <x:v>날짜 누락 행</x:v>
      </x:c>
      <x:c r="B12" s="8" t="n">
        <x:v>0</x:v>
      </x:c>
      <x:c r="C12" s="28" t="n">
        <x:f>SUMPRODUCT(('전표'!$A$7:$A$306&lt;&gt;"")*('전표'!$B$7:$B$306="")*1)</x:f>
        <x:v>0</x:v>
      </x:c>
      <x:c r="D12" s="8" t="str">
        <x:f>IF(C12=0,"정상","확인 필요")</x:f>
        <x:v>정상</x:v>
      </x:c>
    </x:row>
    <x:row r="13">
      <x:c r="A13" s="27" t="str">
        <x:v>증빙 미입력 행</x:v>
      </x:c>
      <x:c r="B13" s="8" t="n">
        <x:v>0</x:v>
      </x:c>
      <x:c r="C13" s="28" t="n">
        <x:f>SUMPRODUCT(('전표'!$A$7:$A$306&lt;&gt;"")*('전표'!$C$7:$C$306="")*1)</x:f>
        <x:v>0</x:v>
      </x:c>
      <x:c r="D13" s="8" t="str">
        <x:f>IF(C13=0,"정상","확인 필요")</x:f>
        <x:v>정상</x:v>
      </x:c>
    </x:row>
    <x:row r="14">
      <x:c r="A14" s="27" t="str">
        <x:v>부가세액 입력·과세 아님 행</x:v>
      </x:c>
      <x:c r="B14" s="8" t="n">
        <x:v>0</x:v>
      </x:c>
      <x:c r="C14" s="28" t="n">
        <x:f>SUMPRODUCT(('전표'!$H$7:$H$306&lt;&gt;"")*('전표'!$H$7:$H$306&gt;0)*('전표'!$N$7:$N$306&lt;&gt;"과세")*1)</x:f>
        <x:v>0</x:v>
      </x:c>
      <x:c r="D14" s="8" t="str">
        <x:f>IF(C14=0,"정상","확인 필요")</x:f>
        <x:v>정상</x:v>
      </x:c>
    </x:row>
    <x:row r="15">
      <x:c r="A15" s="27" t="str">
        <x:v>기간 미표시 행 (날짜 형식 확인)</x:v>
      </x:c>
      <x:c r="B15" s="8" t="n">
        <x:v>0</x:v>
      </x:c>
      <x:c r="C15" s="28" t="n">
        <x:f>SUMPRODUCT(('전표'!$A$7:$A$306&lt;&gt;"")*('전표'!$K$7:$K$306="")*1)</x:f>
        <x:v>0</x:v>
      </x:c>
      <x:c r="D15" s="8" t="str">
        <x:f>IF(C15=0,"정상","확인 필요")</x:f>
        <x:v>정상</x:v>
      </x:c>
    </x:row>
  </x:sheetData>
  <x:conditionalFormatting sqref="D7:D15">
    <x:cfRule type="containsText" dxfId="1" priority="1" operator="containsText" text="확인 필요"/>
  </x:conditionalFormatting>
  <x:conditionalFormatting sqref="D4:D4">
    <x:cfRule type="containsText" dxfId="2" priority="2" operator="containsText" text="확인 필요"/>
  </x:conditionalFormatting>
  <x:pageMargins left="0.7" right="0.7" top="0.75" bottom="0.75" header="0.3" footer="0.3"/>
</x:worksheet>
</file>