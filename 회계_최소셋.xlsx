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a6c2aa8fa45b5e/문서/new/"/>
    </mc:Choice>
  </mc:AlternateContent>
  <xr:revisionPtr revIDLastSave="745" documentId="11_319A38C05A39FAA89BCB1EA81870704E48F63702" xr6:coauthVersionLast="47" xr6:coauthVersionMax="47" xr10:uidLastSave="{20CE6F0B-4342-44F2-B5FE-F3B8F1DFCCCD}"/>
  <bookViews>
    <workbookView xWindow="-98" yWindow="-98" windowWidth="21795" windowHeight="12975" activeTab="2" xr2:uid="{00000000-000D-0000-FFFF-FFFF00000000}"/>
  </bookViews>
  <sheets>
    <sheet name="시산표" sheetId="1" r:id="rId1"/>
    <sheet name="전표" sheetId="2" r:id="rId2"/>
    <sheet name="계정과목" sheetId="3" r:id="rId3"/>
    <sheet name="검증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2" i="2" l="1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28" i="2"/>
  <c r="R29" i="2" s="1"/>
  <c r="R30" i="2" s="1"/>
  <c r="R31" i="2" s="1"/>
  <c r="R32" i="2" s="1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G19" i="2"/>
  <c r="K23" i="2"/>
  <c r="G21" i="2"/>
  <c r="G20" i="2"/>
  <c r="G13" i="2"/>
  <c r="F14" i="2" s="1"/>
  <c r="F12" i="2"/>
  <c r="H11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L12" i="2"/>
  <c r="M12" i="2"/>
  <c r="N12" i="2"/>
  <c r="O12" i="2"/>
  <c r="L13" i="2"/>
  <c r="M13" i="2"/>
  <c r="N13" i="2"/>
  <c r="O13" i="2"/>
  <c r="L14" i="2"/>
  <c r="M14" i="2"/>
  <c r="N14" i="2"/>
  <c r="O14" i="2"/>
  <c r="L15" i="2"/>
  <c r="M15" i="2"/>
  <c r="N15" i="2"/>
  <c r="O15" i="2"/>
  <c r="L16" i="2"/>
  <c r="M16" i="2"/>
  <c r="N16" i="2"/>
  <c r="O16" i="2"/>
  <c r="L17" i="2"/>
  <c r="M17" i="2"/>
  <c r="N17" i="2"/>
  <c r="O17" i="2"/>
  <c r="L18" i="2"/>
  <c r="M18" i="2"/>
  <c r="N18" i="2"/>
  <c r="O18" i="2"/>
  <c r="L19" i="2"/>
  <c r="M19" i="2"/>
  <c r="N19" i="2"/>
  <c r="O19" i="2"/>
  <c r="L20" i="2"/>
  <c r="M20" i="2"/>
  <c r="N20" i="2"/>
  <c r="O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O32" i="2"/>
  <c r="L33" i="2"/>
  <c r="M33" i="2"/>
  <c r="N33" i="2"/>
  <c r="O33" i="2"/>
  <c r="L34" i="2"/>
  <c r="M34" i="2"/>
  <c r="N34" i="2"/>
  <c r="O34" i="2"/>
  <c r="L35" i="2"/>
  <c r="M35" i="2"/>
  <c r="N35" i="2"/>
  <c r="O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M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L55" i="2"/>
  <c r="M55" i="2"/>
  <c r="N55" i="2"/>
  <c r="O55" i="2"/>
  <c r="L56" i="2"/>
  <c r="M56" i="2"/>
  <c r="N56" i="2"/>
  <c r="O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L101" i="2"/>
  <c r="M101" i="2"/>
  <c r="N101" i="2"/>
  <c r="O101" i="2"/>
  <c r="L102" i="2"/>
  <c r="M102" i="2"/>
  <c r="N102" i="2"/>
  <c r="O102" i="2"/>
  <c r="L103" i="2"/>
  <c r="M103" i="2"/>
  <c r="N103" i="2"/>
  <c r="O103" i="2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L110" i="2"/>
  <c r="M110" i="2"/>
  <c r="N110" i="2"/>
  <c r="O110" i="2"/>
  <c r="L111" i="2"/>
  <c r="M111" i="2"/>
  <c r="N111" i="2"/>
  <c r="O111" i="2"/>
  <c r="L112" i="2"/>
  <c r="M112" i="2"/>
  <c r="N112" i="2"/>
  <c r="O112" i="2"/>
  <c r="L113" i="2"/>
  <c r="M113" i="2"/>
  <c r="N113" i="2"/>
  <c r="O113" i="2"/>
  <c r="L114" i="2"/>
  <c r="M114" i="2"/>
  <c r="N114" i="2"/>
  <c r="O114" i="2"/>
  <c r="L115" i="2"/>
  <c r="M115" i="2"/>
  <c r="N115" i="2"/>
  <c r="O115" i="2"/>
  <c r="L116" i="2"/>
  <c r="M116" i="2"/>
  <c r="N116" i="2"/>
  <c r="O116" i="2"/>
  <c r="L117" i="2"/>
  <c r="M117" i="2"/>
  <c r="N117" i="2"/>
  <c r="O117" i="2"/>
  <c r="L118" i="2"/>
  <c r="M118" i="2"/>
  <c r="N118" i="2"/>
  <c r="O118" i="2"/>
  <c r="L119" i="2"/>
  <c r="M119" i="2"/>
  <c r="N119" i="2"/>
  <c r="O119" i="2"/>
  <c r="L120" i="2"/>
  <c r="M120" i="2"/>
  <c r="N120" i="2"/>
  <c r="O120" i="2"/>
  <c r="L121" i="2"/>
  <c r="M121" i="2"/>
  <c r="N121" i="2"/>
  <c r="O121" i="2"/>
  <c r="L122" i="2"/>
  <c r="M122" i="2"/>
  <c r="N122" i="2"/>
  <c r="O122" i="2"/>
  <c r="L123" i="2"/>
  <c r="M123" i="2"/>
  <c r="N123" i="2"/>
  <c r="O123" i="2"/>
  <c r="L124" i="2"/>
  <c r="M124" i="2"/>
  <c r="N124" i="2"/>
  <c r="O124" i="2"/>
  <c r="L125" i="2"/>
  <c r="M125" i="2"/>
  <c r="N125" i="2"/>
  <c r="O125" i="2"/>
  <c r="L126" i="2"/>
  <c r="M126" i="2"/>
  <c r="N126" i="2"/>
  <c r="O126" i="2"/>
  <c r="L127" i="2"/>
  <c r="M127" i="2"/>
  <c r="N127" i="2"/>
  <c r="O127" i="2"/>
  <c r="L128" i="2"/>
  <c r="M128" i="2"/>
  <c r="N128" i="2"/>
  <c r="O128" i="2"/>
  <c r="L129" i="2"/>
  <c r="M129" i="2"/>
  <c r="N129" i="2"/>
  <c r="O129" i="2"/>
  <c r="L130" i="2"/>
  <c r="M130" i="2"/>
  <c r="N130" i="2"/>
  <c r="O130" i="2"/>
  <c r="L131" i="2"/>
  <c r="M131" i="2"/>
  <c r="N131" i="2"/>
  <c r="O131" i="2"/>
  <c r="L132" i="2"/>
  <c r="M132" i="2"/>
  <c r="N132" i="2"/>
  <c r="O132" i="2"/>
  <c r="L133" i="2"/>
  <c r="M133" i="2"/>
  <c r="N133" i="2"/>
  <c r="O133" i="2"/>
  <c r="L134" i="2"/>
  <c r="M134" i="2"/>
  <c r="N134" i="2"/>
  <c r="O134" i="2"/>
  <c r="L135" i="2"/>
  <c r="M135" i="2"/>
  <c r="N135" i="2"/>
  <c r="O135" i="2"/>
  <c r="L136" i="2"/>
  <c r="M136" i="2"/>
  <c r="N136" i="2"/>
  <c r="O136" i="2"/>
  <c r="L137" i="2"/>
  <c r="M137" i="2"/>
  <c r="N137" i="2"/>
  <c r="O137" i="2"/>
  <c r="L138" i="2"/>
  <c r="M138" i="2"/>
  <c r="N138" i="2"/>
  <c r="O138" i="2"/>
  <c r="L139" i="2"/>
  <c r="M139" i="2"/>
  <c r="N139" i="2"/>
  <c r="O139" i="2"/>
  <c r="L140" i="2"/>
  <c r="M140" i="2"/>
  <c r="N140" i="2"/>
  <c r="O140" i="2"/>
  <c r="L141" i="2"/>
  <c r="M141" i="2"/>
  <c r="N141" i="2"/>
  <c r="O141" i="2"/>
  <c r="L142" i="2"/>
  <c r="M142" i="2"/>
  <c r="N142" i="2"/>
  <c r="O142" i="2"/>
  <c r="L143" i="2"/>
  <c r="M143" i="2"/>
  <c r="N143" i="2"/>
  <c r="O143" i="2"/>
  <c r="L144" i="2"/>
  <c r="M144" i="2"/>
  <c r="N144" i="2"/>
  <c r="O144" i="2"/>
  <c r="L145" i="2"/>
  <c r="M145" i="2"/>
  <c r="N145" i="2"/>
  <c r="O145" i="2"/>
  <c r="L146" i="2"/>
  <c r="M146" i="2"/>
  <c r="N146" i="2"/>
  <c r="O146" i="2"/>
  <c r="L147" i="2"/>
  <c r="M147" i="2"/>
  <c r="N147" i="2"/>
  <c r="O147" i="2"/>
  <c r="L148" i="2"/>
  <c r="M148" i="2"/>
  <c r="N148" i="2"/>
  <c r="O148" i="2"/>
  <c r="L149" i="2"/>
  <c r="M149" i="2"/>
  <c r="N149" i="2"/>
  <c r="O149" i="2"/>
  <c r="L150" i="2"/>
  <c r="M150" i="2"/>
  <c r="N150" i="2"/>
  <c r="O150" i="2"/>
  <c r="L151" i="2"/>
  <c r="M151" i="2"/>
  <c r="N151" i="2"/>
  <c r="O151" i="2"/>
  <c r="L152" i="2"/>
  <c r="M152" i="2"/>
  <c r="N152" i="2"/>
  <c r="O152" i="2"/>
  <c r="L153" i="2"/>
  <c r="M153" i="2"/>
  <c r="N153" i="2"/>
  <c r="O153" i="2"/>
  <c r="L154" i="2"/>
  <c r="M154" i="2"/>
  <c r="N154" i="2"/>
  <c r="O154" i="2"/>
  <c r="L155" i="2"/>
  <c r="M155" i="2"/>
  <c r="N155" i="2"/>
  <c r="O155" i="2"/>
  <c r="L156" i="2"/>
  <c r="M156" i="2"/>
  <c r="N156" i="2"/>
  <c r="O156" i="2"/>
  <c r="L157" i="2"/>
  <c r="M157" i="2"/>
  <c r="N157" i="2"/>
  <c r="O157" i="2"/>
  <c r="L158" i="2"/>
  <c r="M158" i="2"/>
  <c r="N158" i="2"/>
  <c r="O158" i="2"/>
  <c r="L159" i="2"/>
  <c r="M159" i="2"/>
  <c r="N159" i="2"/>
  <c r="O159" i="2"/>
  <c r="L160" i="2"/>
  <c r="M160" i="2"/>
  <c r="N160" i="2"/>
  <c r="O160" i="2"/>
  <c r="L161" i="2"/>
  <c r="M161" i="2"/>
  <c r="N161" i="2"/>
  <c r="O161" i="2"/>
  <c r="L162" i="2"/>
  <c r="M162" i="2"/>
  <c r="N162" i="2"/>
  <c r="O162" i="2"/>
  <c r="L163" i="2"/>
  <c r="M163" i="2"/>
  <c r="N163" i="2"/>
  <c r="O163" i="2"/>
  <c r="L164" i="2"/>
  <c r="M164" i="2"/>
  <c r="N164" i="2"/>
  <c r="O164" i="2"/>
  <c r="L165" i="2"/>
  <c r="M165" i="2"/>
  <c r="N165" i="2"/>
  <c r="O165" i="2"/>
  <c r="L166" i="2"/>
  <c r="M166" i="2"/>
  <c r="N166" i="2"/>
  <c r="O166" i="2"/>
  <c r="L167" i="2"/>
  <c r="M167" i="2"/>
  <c r="N167" i="2"/>
  <c r="O167" i="2"/>
  <c r="L168" i="2"/>
  <c r="M168" i="2"/>
  <c r="N168" i="2"/>
  <c r="O168" i="2"/>
  <c r="L169" i="2"/>
  <c r="M169" i="2"/>
  <c r="N169" i="2"/>
  <c r="O169" i="2"/>
  <c r="L170" i="2"/>
  <c r="M170" i="2"/>
  <c r="N170" i="2"/>
  <c r="O170" i="2"/>
  <c r="L171" i="2"/>
  <c r="M171" i="2"/>
  <c r="N171" i="2"/>
  <c r="O171" i="2"/>
  <c r="L172" i="2"/>
  <c r="M172" i="2"/>
  <c r="N172" i="2"/>
  <c r="O172" i="2"/>
  <c r="L173" i="2"/>
  <c r="M173" i="2"/>
  <c r="N173" i="2"/>
  <c r="O173" i="2"/>
  <c r="L174" i="2"/>
  <c r="M174" i="2"/>
  <c r="N174" i="2"/>
  <c r="O174" i="2"/>
  <c r="L175" i="2"/>
  <c r="M175" i="2"/>
  <c r="N175" i="2"/>
  <c r="O175" i="2"/>
  <c r="L176" i="2"/>
  <c r="M176" i="2"/>
  <c r="N176" i="2"/>
  <c r="O176" i="2"/>
  <c r="L177" i="2"/>
  <c r="M177" i="2"/>
  <c r="N177" i="2"/>
  <c r="O177" i="2"/>
  <c r="L178" i="2"/>
  <c r="M178" i="2"/>
  <c r="N178" i="2"/>
  <c r="O178" i="2"/>
  <c r="L179" i="2"/>
  <c r="M179" i="2"/>
  <c r="N179" i="2"/>
  <c r="O179" i="2"/>
  <c r="L180" i="2"/>
  <c r="M180" i="2"/>
  <c r="N180" i="2"/>
  <c r="O180" i="2"/>
  <c r="L181" i="2"/>
  <c r="M181" i="2"/>
  <c r="N181" i="2"/>
  <c r="O181" i="2"/>
  <c r="L182" i="2"/>
  <c r="M182" i="2"/>
  <c r="N182" i="2"/>
  <c r="O182" i="2"/>
  <c r="L183" i="2"/>
  <c r="M183" i="2"/>
  <c r="N183" i="2"/>
  <c r="O183" i="2"/>
  <c r="L184" i="2"/>
  <c r="M184" i="2"/>
  <c r="N184" i="2"/>
  <c r="O184" i="2"/>
  <c r="L185" i="2"/>
  <c r="M185" i="2"/>
  <c r="N185" i="2"/>
  <c r="O185" i="2"/>
  <c r="L186" i="2"/>
  <c r="M186" i="2"/>
  <c r="N186" i="2"/>
  <c r="O186" i="2"/>
  <c r="L187" i="2"/>
  <c r="M187" i="2"/>
  <c r="N187" i="2"/>
  <c r="O187" i="2"/>
  <c r="L188" i="2"/>
  <c r="M188" i="2"/>
  <c r="N188" i="2"/>
  <c r="O188" i="2"/>
  <c r="L189" i="2"/>
  <c r="M189" i="2"/>
  <c r="N189" i="2"/>
  <c r="O189" i="2"/>
  <c r="L190" i="2"/>
  <c r="M190" i="2"/>
  <c r="N190" i="2"/>
  <c r="O190" i="2"/>
  <c r="L191" i="2"/>
  <c r="M191" i="2"/>
  <c r="N191" i="2"/>
  <c r="O191" i="2"/>
  <c r="L192" i="2"/>
  <c r="M192" i="2"/>
  <c r="N192" i="2"/>
  <c r="O192" i="2"/>
  <c r="L193" i="2"/>
  <c r="M193" i="2"/>
  <c r="N193" i="2"/>
  <c r="O193" i="2"/>
  <c r="L194" i="2"/>
  <c r="M194" i="2"/>
  <c r="N194" i="2"/>
  <c r="O194" i="2"/>
  <c r="L195" i="2"/>
  <c r="M195" i="2"/>
  <c r="N195" i="2"/>
  <c r="O195" i="2"/>
  <c r="L196" i="2"/>
  <c r="M196" i="2"/>
  <c r="N196" i="2"/>
  <c r="O196" i="2"/>
  <c r="L197" i="2"/>
  <c r="M197" i="2"/>
  <c r="N197" i="2"/>
  <c r="O197" i="2"/>
  <c r="L198" i="2"/>
  <c r="M198" i="2"/>
  <c r="N198" i="2"/>
  <c r="O198" i="2"/>
  <c r="L199" i="2"/>
  <c r="M199" i="2"/>
  <c r="N199" i="2"/>
  <c r="O199" i="2"/>
  <c r="L200" i="2"/>
  <c r="M200" i="2"/>
  <c r="N200" i="2"/>
  <c r="O200" i="2"/>
  <c r="L201" i="2"/>
  <c r="M201" i="2"/>
  <c r="N201" i="2"/>
  <c r="O201" i="2"/>
  <c r="L202" i="2"/>
  <c r="M202" i="2"/>
  <c r="N202" i="2"/>
  <c r="O202" i="2"/>
  <c r="L203" i="2"/>
  <c r="M203" i="2"/>
  <c r="N203" i="2"/>
  <c r="O203" i="2"/>
  <c r="L204" i="2"/>
  <c r="M204" i="2"/>
  <c r="N204" i="2"/>
  <c r="O204" i="2"/>
  <c r="L205" i="2"/>
  <c r="M205" i="2"/>
  <c r="N205" i="2"/>
  <c r="O205" i="2"/>
  <c r="L206" i="2"/>
  <c r="M206" i="2"/>
  <c r="N206" i="2"/>
  <c r="O206" i="2"/>
  <c r="L207" i="2"/>
  <c r="M207" i="2"/>
  <c r="N207" i="2"/>
  <c r="O207" i="2"/>
  <c r="L208" i="2"/>
  <c r="M208" i="2"/>
  <c r="N208" i="2"/>
  <c r="O208" i="2"/>
  <c r="L209" i="2"/>
  <c r="M209" i="2"/>
  <c r="N209" i="2"/>
  <c r="O209" i="2"/>
  <c r="L210" i="2"/>
  <c r="M210" i="2"/>
  <c r="N210" i="2"/>
  <c r="O210" i="2"/>
  <c r="L211" i="2"/>
  <c r="M211" i="2"/>
  <c r="N211" i="2"/>
  <c r="O211" i="2"/>
  <c r="L212" i="2"/>
  <c r="M212" i="2"/>
  <c r="N212" i="2"/>
  <c r="O212" i="2"/>
  <c r="L213" i="2"/>
  <c r="M213" i="2"/>
  <c r="N213" i="2"/>
  <c r="O213" i="2"/>
  <c r="L214" i="2"/>
  <c r="M214" i="2"/>
  <c r="N214" i="2"/>
  <c r="O214" i="2"/>
  <c r="L215" i="2"/>
  <c r="M215" i="2"/>
  <c r="N215" i="2"/>
  <c r="O215" i="2"/>
  <c r="L216" i="2"/>
  <c r="M216" i="2"/>
  <c r="N216" i="2"/>
  <c r="O216" i="2"/>
  <c r="L217" i="2"/>
  <c r="M217" i="2"/>
  <c r="N217" i="2"/>
  <c r="O217" i="2"/>
  <c r="L218" i="2"/>
  <c r="M218" i="2"/>
  <c r="N218" i="2"/>
  <c r="O218" i="2"/>
  <c r="L219" i="2"/>
  <c r="M219" i="2"/>
  <c r="N219" i="2"/>
  <c r="O219" i="2"/>
  <c r="L220" i="2"/>
  <c r="M220" i="2"/>
  <c r="N220" i="2"/>
  <c r="O220" i="2"/>
  <c r="L221" i="2"/>
  <c r="M221" i="2"/>
  <c r="N221" i="2"/>
  <c r="O221" i="2"/>
  <c r="L222" i="2"/>
  <c r="M222" i="2"/>
  <c r="N222" i="2"/>
  <c r="O222" i="2"/>
  <c r="L223" i="2"/>
  <c r="M223" i="2"/>
  <c r="N223" i="2"/>
  <c r="O223" i="2"/>
  <c r="L224" i="2"/>
  <c r="M224" i="2"/>
  <c r="N224" i="2"/>
  <c r="O224" i="2"/>
  <c r="L225" i="2"/>
  <c r="M225" i="2"/>
  <c r="N225" i="2"/>
  <c r="O225" i="2"/>
  <c r="L226" i="2"/>
  <c r="M226" i="2"/>
  <c r="N226" i="2"/>
  <c r="O226" i="2"/>
  <c r="L227" i="2"/>
  <c r="M227" i="2"/>
  <c r="N227" i="2"/>
  <c r="O227" i="2"/>
  <c r="L228" i="2"/>
  <c r="M228" i="2"/>
  <c r="N228" i="2"/>
  <c r="O228" i="2"/>
  <c r="L229" i="2"/>
  <c r="M229" i="2"/>
  <c r="N229" i="2"/>
  <c r="O229" i="2"/>
  <c r="L230" i="2"/>
  <c r="M230" i="2"/>
  <c r="N230" i="2"/>
  <c r="O230" i="2"/>
  <c r="L231" i="2"/>
  <c r="M231" i="2"/>
  <c r="N231" i="2"/>
  <c r="O231" i="2"/>
  <c r="L232" i="2"/>
  <c r="M232" i="2"/>
  <c r="N232" i="2"/>
  <c r="O232" i="2"/>
  <c r="L233" i="2"/>
  <c r="M233" i="2"/>
  <c r="N233" i="2"/>
  <c r="O233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L237" i="2"/>
  <c r="M237" i="2"/>
  <c r="N237" i="2"/>
  <c r="O237" i="2"/>
  <c r="L238" i="2"/>
  <c r="M238" i="2"/>
  <c r="N238" i="2"/>
  <c r="O238" i="2"/>
  <c r="L239" i="2"/>
  <c r="M239" i="2"/>
  <c r="N239" i="2"/>
  <c r="O239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4" i="2"/>
  <c r="M254" i="2"/>
  <c r="N254" i="2"/>
  <c r="O254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1" i="2"/>
  <c r="M281" i="2"/>
  <c r="N281" i="2"/>
  <c r="O281" i="2"/>
  <c r="L282" i="2"/>
  <c r="M282" i="2"/>
  <c r="N282" i="2"/>
  <c r="O282" i="2"/>
  <c r="A46" i="1"/>
  <c r="B46" i="1"/>
  <c r="C46" i="1"/>
  <c r="C13" i="4"/>
  <c r="D13" i="4" s="1"/>
  <c r="C12" i="4"/>
  <c r="D12" i="4" s="1"/>
  <c r="P282" i="2"/>
  <c r="Q282" i="2" s="1"/>
  <c r="K282" i="2"/>
  <c r="P281" i="2"/>
  <c r="Q281" i="2" s="1"/>
  <c r="K281" i="2"/>
  <c r="P280" i="2"/>
  <c r="Q280" i="2" s="1"/>
  <c r="K280" i="2"/>
  <c r="P279" i="2"/>
  <c r="Q279" i="2" s="1"/>
  <c r="K279" i="2"/>
  <c r="P278" i="2"/>
  <c r="Q278" i="2" s="1"/>
  <c r="K278" i="2"/>
  <c r="P277" i="2"/>
  <c r="Q277" i="2" s="1"/>
  <c r="K277" i="2"/>
  <c r="P276" i="2"/>
  <c r="Q276" i="2" s="1"/>
  <c r="K276" i="2"/>
  <c r="P275" i="2"/>
  <c r="Q275" i="2" s="1"/>
  <c r="K275" i="2"/>
  <c r="P274" i="2"/>
  <c r="Q274" i="2" s="1"/>
  <c r="K274" i="2"/>
  <c r="P273" i="2"/>
  <c r="Q273" i="2" s="1"/>
  <c r="K273" i="2"/>
  <c r="P272" i="2"/>
  <c r="Q272" i="2" s="1"/>
  <c r="K272" i="2"/>
  <c r="P271" i="2"/>
  <c r="Q271" i="2" s="1"/>
  <c r="K271" i="2"/>
  <c r="P270" i="2"/>
  <c r="Q270" i="2" s="1"/>
  <c r="K270" i="2"/>
  <c r="P269" i="2"/>
  <c r="Q269" i="2" s="1"/>
  <c r="K269" i="2"/>
  <c r="P268" i="2"/>
  <c r="Q268" i="2" s="1"/>
  <c r="K268" i="2"/>
  <c r="P267" i="2"/>
  <c r="Q267" i="2" s="1"/>
  <c r="K267" i="2"/>
  <c r="P266" i="2"/>
  <c r="Q266" i="2" s="1"/>
  <c r="K266" i="2"/>
  <c r="P265" i="2"/>
  <c r="Q265" i="2" s="1"/>
  <c r="K265" i="2"/>
  <c r="P264" i="2"/>
  <c r="Q264" i="2" s="1"/>
  <c r="K264" i="2"/>
  <c r="P263" i="2"/>
  <c r="Q263" i="2" s="1"/>
  <c r="K263" i="2"/>
  <c r="P262" i="2"/>
  <c r="Q262" i="2" s="1"/>
  <c r="K262" i="2"/>
  <c r="P261" i="2"/>
  <c r="Q261" i="2" s="1"/>
  <c r="K261" i="2"/>
  <c r="P260" i="2"/>
  <c r="Q260" i="2" s="1"/>
  <c r="K260" i="2"/>
  <c r="P259" i="2"/>
  <c r="Q259" i="2" s="1"/>
  <c r="K259" i="2"/>
  <c r="P258" i="2"/>
  <c r="Q258" i="2" s="1"/>
  <c r="K258" i="2"/>
  <c r="P257" i="2"/>
  <c r="Q257" i="2" s="1"/>
  <c r="K257" i="2"/>
  <c r="P256" i="2"/>
  <c r="Q256" i="2" s="1"/>
  <c r="K256" i="2"/>
  <c r="P255" i="2"/>
  <c r="Q255" i="2" s="1"/>
  <c r="K255" i="2"/>
  <c r="P254" i="2"/>
  <c r="Q254" i="2" s="1"/>
  <c r="K254" i="2"/>
  <c r="P253" i="2"/>
  <c r="Q253" i="2" s="1"/>
  <c r="K253" i="2"/>
  <c r="P252" i="2"/>
  <c r="Q252" i="2" s="1"/>
  <c r="K252" i="2"/>
  <c r="P251" i="2"/>
  <c r="Q251" i="2" s="1"/>
  <c r="K251" i="2"/>
  <c r="P250" i="2"/>
  <c r="Q250" i="2" s="1"/>
  <c r="K250" i="2"/>
  <c r="P249" i="2"/>
  <c r="Q249" i="2" s="1"/>
  <c r="K249" i="2"/>
  <c r="P248" i="2"/>
  <c r="Q248" i="2" s="1"/>
  <c r="K248" i="2"/>
  <c r="P247" i="2"/>
  <c r="Q247" i="2" s="1"/>
  <c r="K247" i="2"/>
  <c r="P246" i="2"/>
  <c r="Q246" i="2" s="1"/>
  <c r="K246" i="2"/>
  <c r="P245" i="2"/>
  <c r="Q245" i="2" s="1"/>
  <c r="K245" i="2"/>
  <c r="P244" i="2"/>
  <c r="Q244" i="2" s="1"/>
  <c r="K244" i="2"/>
  <c r="P243" i="2"/>
  <c r="Q243" i="2" s="1"/>
  <c r="K243" i="2"/>
  <c r="P242" i="2"/>
  <c r="Q242" i="2" s="1"/>
  <c r="K242" i="2"/>
  <c r="P241" i="2"/>
  <c r="Q241" i="2" s="1"/>
  <c r="K241" i="2"/>
  <c r="P240" i="2"/>
  <c r="Q240" i="2" s="1"/>
  <c r="K240" i="2"/>
  <c r="P239" i="2"/>
  <c r="Q239" i="2" s="1"/>
  <c r="K239" i="2"/>
  <c r="P238" i="2"/>
  <c r="Q238" i="2" s="1"/>
  <c r="K238" i="2"/>
  <c r="P237" i="2"/>
  <c r="Q237" i="2" s="1"/>
  <c r="K237" i="2"/>
  <c r="P236" i="2"/>
  <c r="Q236" i="2" s="1"/>
  <c r="K236" i="2"/>
  <c r="P235" i="2"/>
  <c r="Q235" i="2" s="1"/>
  <c r="K235" i="2"/>
  <c r="P234" i="2"/>
  <c r="Q234" i="2" s="1"/>
  <c r="K234" i="2"/>
  <c r="P233" i="2"/>
  <c r="Q233" i="2" s="1"/>
  <c r="K233" i="2"/>
  <c r="P232" i="2"/>
  <c r="Q232" i="2" s="1"/>
  <c r="K232" i="2"/>
  <c r="P231" i="2"/>
  <c r="Q231" i="2" s="1"/>
  <c r="K231" i="2"/>
  <c r="P230" i="2"/>
  <c r="Q230" i="2" s="1"/>
  <c r="K230" i="2"/>
  <c r="P229" i="2"/>
  <c r="Q229" i="2" s="1"/>
  <c r="K229" i="2"/>
  <c r="P228" i="2"/>
  <c r="Q228" i="2" s="1"/>
  <c r="K228" i="2"/>
  <c r="P227" i="2"/>
  <c r="Q227" i="2" s="1"/>
  <c r="K227" i="2"/>
  <c r="P226" i="2"/>
  <c r="Q226" i="2" s="1"/>
  <c r="K226" i="2"/>
  <c r="P225" i="2"/>
  <c r="Q225" i="2" s="1"/>
  <c r="K225" i="2"/>
  <c r="P224" i="2"/>
  <c r="Q224" i="2" s="1"/>
  <c r="K224" i="2"/>
  <c r="P223" i="2"/>
  <c r="Q223" i="2" s="1"/>
  <c r="K223" i="2"/>
  <c r="P222" i="2"/>
  <c r="Q222" i="2" s="1"/>
  <c r="K222" i="2"/>
  <c r="P221" i="2"/>
  <c r="Q221" i="2" s="1"/>
  <c r="K221" i="2"/>
  <c r="P220" i="2"/>
  <c r="Q220" i="2" s="1"/>
  <c r="K220" i="2"/>
  <c r="P219" i="2"/>
  <c r="Q219" i="2" s="1"/>
  <c r="K219" i="2"/>
  <c r="P218" i="2"/>
  <c r="Q218" i="2" s="1"/>
  <c r="K218" i="2"/>
  <c r="P217" i="2"/>
  <c r="Q217" i="2" s="1"/>
  <c r="K217" i="2"/>
  <c r="P216" i="2"/>
  <c r="Q216" i="2" s="1"/>
  <c r="K216" i="2"/>
  <c r="P215" i="2"/>
  <c r="Q215" i="2" s="1"/>
  <c r="K215" i="2"/>
  <c r="P214" i="2"/>
  <c r="Q214" i="2" s="1"/>
  <c r="K214" i="2"/>
  <c r="P213" i="2"/>
  <c r="Q213" i="2" s="1"/>
  <c r="K213" i="2"/>
  <c r="P212" i="2"/>
  <c r="Q212" i="2" s="1"/>
  <c r="K212" i="2"/>
  <c r="P211" i="2"/>
  <c r="Q211" i="2" s="1"/>
  <c r="K211" i="2"/>
  <c r="P210" i="2"/>
  <c r="Q210" i="2" s="1"/>
  <c r="K210" i="2"/>
  <c r="P209" i="2"/>
  <c r="Q209" i="2" s="1"/>
  <c r="K209" i="2"/>
  <c r="P208" i="2"/>
  <c r="Q208" i="2" s="1"/>
  <c r="K208" i="2"/>
  <c r="P207" i="2"/>
  <c r="Q207" i="2" s="1"/>
  <c r="K207" i="2"/>
  <c r="P206" i="2"/>
  <c r="Q206" i="2" s="1"/>
  <c r="K206" i="2"/>
  <c r="P205" i="2"/>
  <c r="Q205" i="2" s="1"/>
  <c r="K205" i="2"/>
  <c r="P204" i="2"/>
  <c r="Q204" i="2" s="1"/>
  <c r="K204" i="2"/>
  <c r="P203" i="2"/>
  <c r="Q203" i="2" s="1"/>
  <c r="K203" i="2"/>
  <c r="P202" i="2"/>
  <c r="Q202" i="2" s="1"/>
  <c r="K202" i="2"/>
  <c r="P201" i="2"/>
  <c r="Q201" i="2" s="1"/>
  <c r="K201" i="2"/>
  <c r="P200" i="2"/>
  <c r="Q200" i="2" s="1"/>
  <c r="K200" i="2"/>
  <c r="P199" i="2"/>
  <c r="Q199" i="2" s="1"/>
  <c r="K199" i="2"/>
  <c r="P198" i="2"/>
  <c r="Q198" i="2" s="1"/>
  <c r="K198" i="2"/>
  <c r="P197" i="2"/>
  <c r="Q197" i="2" s="1"/>
  <c r="K197" i="2"/>
  <c r="P196" i="2"/>
  <c r="Q196" i="2" s="1"/>
  <c r="K196" i="2"/>
  <c r="P195" i="2"/>
  <c r="Q195" i="2" s="1"/>
  <c r="K195" i="2"/>
  <c r="P194" i="2"/>
  <c r="Q194" i="2" s="1"/>
  <c r="K194" i="2"/>
  <c r="P193" i="2"/>
  <c r="Q193" i="2" s="1"/>
  <c r="K193" i="2"/>
  <c r="P192" i="2"/>
  <c r="Q192" i="2" s="1"/>
  <c r="K192" i="2"/>
  <c r="P191" i="2"/>
  <c r="Q191" i="2" s="1"/>
  <c r="K191" i="2"/>
  <c r="P190" i="2"/>
  <c r="Q190" i="2" s="1"/>
  <c r="K190" i="2"/>
  <c r="P189" i="2"/>
  <c r="Q189" i="2" s="1"/>
  <c r="K189" i="2"/>
  <c r="P188" i="2"/>
  <c r="Q188" i="2" s="1"/>
  <c r="K188" i="2"/>
  <c r="P187" i="2"/>
  <c r="Q187" i="2" s="1"/>
  <c r="K187" i="2"/>
  <c r="P186" i="2"/>
  <c r="Q186" i="2" s="1"/>
  <c r="K186" i="2"/>
  <c r="P185" i="2"/>
  <c r="Q185" i="2" s="1"/>
  <c r="K185" i="2"/>
  <c r="P184" i="2"/>
  <c r="Q184" i="2" s="1"/>
  <c r="K184" i="2"/>
  <c r="P183" i="2"/>
  <c r="Q183" i="2" s="1"/>
  <c r="K183" i="2"/>
  <c r="P182" i="2"/>
  <c r="Q182" i="2" s="1"/>
  <c r="K182" i="2"/>
  <c r="P181" i="2"/>
  <c r="Q181" i="2" s="1"/>
  <c r="K181" i="2"/>
  <c r="P180" i="2"/>
  <c r="Q180" i="2" s="1"/>
  <c r="K180" i="2"/>
  <c r="P179" i="2"/>
  <c r="Q179" i="2" s="1"/>
  <c r="K179" i="2"/>
  <c r="P178" i="2"/>
  <c r="Q178" i="2" s="1"/>
  <c r="K178" i="2"/>
  <c r="P177" i="2"/>
  <c r="Q177" i="2" s="1"/>
  <c r="K177" i="2"/>
  <c r="P176" i="2"/>
  <c r="Q176" i="2" s="1"/>
  <c r="K176" i="2"/>
  <c r="P175" i="2"/>
  <c r="Q175" i="2" s="1"/>
  <c r="K175" i="2"/>
  <c r="P174" i="2"/>
  <c r="Q174" i="2" s="1"/>
  <c r="K174" i="2"/>
  <c r="P173" i="2"/>
  <c r="Q173" i="2" s="1"/>
  <c r="K173" i="2"/>
  <c r="P172" i="2"/>
  <c r="Q172" i="2" s="1"/>
  <c r="K172" i="2"/>
  <c r="P171" i="2"/>
  <c r="Q171" i="2" s="1"/>
  <c r="K171" i="2"/>
  <c r="P170" i="2"/>
  <c r="Q170" i="2" s="1"/>
  <c r="K170" i="2"/>
  <c r="P169" i="2"/>
  <c r="Q169" i="2" s="1"/>
  <c r="K169" i="2"/>
  <c r="P168" i="2"/>
  <c r="Q168" i="2" s="1"/>
  <c r="K168" i="2"/>
  <c r="P167" i="2"/>
  <c r="Q167" i="2" s="1"/>
  <c r="K167" i="2"/>
  <c r="P166" i="2"/>
  <c r="Q166" i="2" s="1"/>
  <c r="K166" i="2"/>
  <c r="P165" i="2"/>
  <c r="Q165" i="2" s="1"/>
  <c r="K165" i="2"/>
  <c r="P164" i="2"/>
  <c r="Q164" i="2" s="1"/>
  <c r="K164" i="2"/>
  <c r="P163" i="2"/>
  <c r="Q163" i="2" s="1"/>
  <c r="K163" i="2"/>
  <c r="P162" i="2"/>
  <c r="Q162" i="2" s="1"/>
  <c r="K162" i="2"/>
  <c r="P161" i="2"/>
  <c r="Q161" i="2" s="1"/>
  <c r="K161" i="2"/>
  <c r="P160" i="2"/>
  <c r="Q160" i="2" s="1"/>
  <c r="K160" i="2"/>
  <c r="P159" i="2"/>
  <c r="Q159" i="2" s="1"/>
  <c r="K159" i="2"/>
  <c r="P158" i="2"/>
  <c r="Q158" i="2" s="1"/>
  <c r="K158" i="2"/>
  <c r="P157" i="2"/>
  <c r="Q157" i="2" s="1"/>
  <c r="K157" i="2"/>
  <c r="P156" i="2"/>
  <c r="Q156" i="2" s="1"/>
  <c r="K156" i="2"/>
  <c r="P155" i="2"/>
  <c r="Q155" i="2" s="1"/>
  <c r="K155" i="2"/>
  <c r="P154" i="2"/>
  <c r="Q154" i="2" s="1"/>
  <c r="K154" i="2"/>
  <c r="P153" i="2"/>
  <c r="Q153" i="2" s="1"/>
  <c r="K153" i="2"/>
  <c r="P152" i="2"/>
  <c r="Q152" i="2" s="1"/>
  <c r="K152" i="2"/>
  <c r="P151" i="2"/>
  <c r="Q151" i="2" s="1"/>
  <c r="K151" i="2"/>
  <c r="P150" i="2"/>
  <c r="Q150" i="2" s="1"/>
  <c r="K150" i="2"/>
  <c r="P149" i="2"/>
  <c r="Q149" i="2" s="1"/>
  <c r="K149" i="2"/>
  <c r="P148" i="2"/>
  <c r="Q148" i="2" s="1"/>
  <c r="K148" i="2"/>
  <c r="P147" i="2"/>
  <c r="Q147" i="2" s="1"/>
  <c r="K147" i="2"/>
  <c r="P146" i="2"/>
  <c r="Q146" i="2" s="1"/>
  <c r="K146" i="2"/>
  <c r="P145" i="2"/>
  <c r="Q145" i="2" s="1"/>
  <c r="K145" i="2"/>
  <c r="P144" i="2"/>
  <c r="Q144" i="2" s="1"/>
  <c r="K144" i="2"/>
  <c r="P143" i="2"/>
  <c r="Q143" i="2" s="1"/>
  <c r="K143" i="2"/>
  <c r="P142" i="2"/>
  <c r="Q142" i="2" s="1"/>
  <c r="K142" i="2"/>
  <c r="P141" i="2"/>
  <c r="Q141" i="2" s="1"/>
  <c r="K141" i="2"/>
  <c r="P140" i="2"/>
  <c r="Q140" i="2" s="1"/>
  <c r="K140" i="2"/>
  <c r="P139" i="2"/>
  <c r="Q139" i="2" s="1"/>
  <c r="K139" i="2"/>
  <c r="P138" i="2"/>
  <c r="Q138" i="2" s="1"/>
  <c r="K138" i="2"/>
  <c r="P137" i="2"/>
  <c r="Q137" i="2" s="1"/>
  <c r="K137" i="2"/>
  <c r="P136" i="2"/>
  <c r="Q136" i="2" s="1"/>
  <c r="K136" i="2"/>
  <c r="P135" i="2"/>
  <c r="Q135" i="2" s="1"/>
  <c r="K135" i="2"/>
  <c r="P134" i="2"/>
  <c r="Q134" i="2" s="1"/>
  <c r="K134" i="2"/>
  <c r="P133" i="2"/>
  <c r="Q133" i="2" s="1"/>
  <c r="K133" i="2"/>
  <c r="P132" i="2"/>
  <c r="Q132" i="2" s="1"/>
  <c r="K132" i="2"/>
  <c r="P131" i="2"/>
  <c r="Q131" i="2" s="1"/>
  <c r="K131" i="2"/>
  <c r="P130" i="2"/>
  <c r="Q130" i="2" s="1"/>
  <c r="K130" i="2"/>
  <c r="P129" i="2"/>
  <c r="Q129" i="2" s="1"/>
  <c r="K129" i="2"/>
  <c r="P128" i="2"/>
  <c r="Q128" i="2" s="1"/>
  <c r="K128" i="2"/>
  <c r="P127" i="2"/>
  <c r="Q127" i="2" s="1"/>
  <c r="K127" i="2"/>
  <c r="P126" i="2"/>
  <c r="Q126" i="2" s="1"/>
  <c r="K126" i="2"/>
  <c r="P125" i="2"/>
  <c r="Q125" i="2" s="1"/>
  <c r="K125" i="2"/>
  <c r="P124" i="2"/>
  <c r="Q124" i="2" s="1"/>
  <c r="K124" i="2"/>
  <c r="P123" i="2"/>
  <c r="Q123" i="2" s="1"/>
  <c r="K123" i="2"/>
  <c r="P122" i="2"/>
  <c r="Q122" i="2" s="1"/>
  <c r="K122" i="2"/>
  <c r="P121" i="2"/>
  <c r="Q121" i="2" s="1"/>
  <c r="K121" i="2"/>
  <c r="P120" i="2"/>
  <c r="Q120" i="2" s="1"/>
  <c r="K120" i="2"/>
  <c r="P119" i="2"/>
  <c r="Q119" i="2" s="1"/>
  <c r="K119" i="2"/>
  <c r="P118" i="2"/>
  <c r="Q118" i="2" s="1"/>
  <c r="K118" i="2"/>
  <c r="P117" i="2"/>
  <c r="Q117" i="2" s="1"/>
  <c r="K117" i="2"/>
  <c r="P116" i="2"/>
  <c r="Q116" i="2" s="1"/>
  <c r="K116" i="2"/>
  <c r="P115" i="2"/>
  <c r="Q115" i="2" s="1"/>
  <c r="K115" i="2"/>
  <c r="P114" i="2"/>
  <c r="Q114" i="2" s="1"/>
  <c r="K114" i="2"/>
  <c r="P113" i="2"/>
  <c r="Q113" i="2" s="1"/>
  <c r="K113" i="2"/>
  <c r="P112" i="2"/>
  <c r="Q112" i="2" s="1"/>
  <c r="K112" i="2"/>
  <c r="P111" i="2"/>
  <c r="Q111" i="2" s="1"/>
  <c r="K111" i="2"/>
  <c r="P110" i="2"/>
  <c r="Q110" i="2" s="1"/>
  <c r="K110" i="2"/>
  <c r="P109" i="2"/>
  <c r="Q109" i="2" s="1"/>
  <c r="K109" i="2"/>
  <c r="P108" i="2"/>
  <c r="Q108" i="2" s="1"/>
  <c r="K108" i="2"/>
  <c r="P107" i="2"/>
  <c r="Q107" i="2" s="1"/>
  <c r="K107" i="2"/>
  <c r="P106" i="2"/>
  <c r="Q106" i="2" s="1"/>
  <c r="K106" i="2"/>
  <c r="P105" i="2"/>
  <c r="Q105" i="2" s="1"/>
  <c r="K105" i="2"/>
  <c r="P104" i="2"/>
  <c r="Q104" i="2" s="1"/>
  <c r="K104" i="2"/>
  <c r="P103" i="2"/>
  <c r="Q103" i="2" s="1"/>
  <c r="K103" i="2"/>
  <c r="P102" i="2"/>
  <c r="Q102" i="2" s="1"/>
  <c r="K102" i="2"/>
  <c r="P101" i="2"/>
  <c r="Q101" i="2" s="1"/>
  <c r="K101" i="2"/>
  <c r="P100" i="2"/>
  <c r="Q100" i="2" s="1"/>
  <c r="K100" i="2"/>
  <c r="P99" i="2"/>
  <c r="Q99" i="2" s="1"/>
  <c r="K99" i="2"/>
  <c r="P98" i="2"/>
  <c r="Q98" i="2" s="1"/>
  <c r="K98" i="2"/>
  <c r="P97" i="2"/>
  <c r="Q97" i="2" s="1"/>
  <c r="K97" i="2"/>
  <c r="P96" i="2"/>
  <c r="Q96" i="2" s="1"/>
  <c r="K96" i="2"/>
  <c r="P95" i="2"/>
  <c r="Q95" i="2" s="1"/>
  <c r="K95" i="2"/>
  <c r="P94" i="2"/>
  <c r="Q94" i="2" s="1"/>
  <c r="K94" i="2"/>
  <c r="P93" i="2"/>
  <c r="Q93" i="2" s="1"/>
  <c r="K93" i="2"/>
  <c r="P92" i="2"/>
  <c r="Q92" i="2" s="1"/>
  <c r="K92" i="2"/>
  <c r="P91" i="2"/>
  <c r="Q91" i="2" s="1"/>
  <c r="K91" i="2"/>
  <c r="P90" i="2"/>
  <c r="Q90" i="2" s="1"/>
  <c r="K90" i="2"/>
  <c r="P89" i="2"/>
  <c r="Q89" i="2" s="1"/>
  <c r="K89" i="2"/>
  <c r="P88" i="2"/>
  <c r="Q88" i="2" s="1"/>
  <c r="K88" i="2"/>
  <c r="P87" i="2"/>
  <c r="Q87" i="2" s="1"/>
  <c r="K87" i="2"/>
  <c r="P86" i="2"/>
  <c r="Q86" i="2" s="1"/>
  <c r="K86" i="2"/>
  <c r="P85" i="2"/>
  <c r="Q85" i="2" s="1"/>
  <c r="K85" i="2"/>
  <c r="P84" i="2"/>
  <c r="Q84" i="2" s="1"/>
  <c r="K84" i="2"/>
  <c r="P83" i="2"/>
  <c r="Q83" i="2" s="1"/>
  <c r="K83" i="2"/>
  <c r="P82" i="2"/>
  <c r="Q82" i="2" s="1"/>
  <c r="K82" i="2"/>
  <c r="P81" i="2"/>
  <c r="Q81" i="2" s="1"/>
  <c r="K81" i="2"/>
  <c r="P80" i="2"/>
  <c r="Q80" i="2" s="1"/>
  <c r="K80" i="2"/>
  <c r="P79" i="2"/>
  <c r="Q79" i="2" s="1"/>
  <c r="K79" i="2"/>
  <c r="P78" i="2"/>
  <c r="Q78" i="2" s="1"/>
  <c r="K78" i="2"/>
  <c r="P77" i="2"/>
  <c r="Q77" i="2" s="1"/>
  <c r="K77" i="2"/>
  <c r="P76" i="2"/>
  <c r="Q76" i="2" s="1"/>
  <c r="K76" i="2"/>
  <c r="P75" i="2"/>
  <c r="Q75" i="2" s="1"/>
  <c r="K75" i="2"/>
  <c r="P74" i="2"/>
  <c r="Q74" i="2" s="1"/>
  <c r="K74" i="2"/>
  <c r="P73" i="2"/>
  <c r="Q73" i="2" s="1"/>
  <c r="K73" i="2"/>
  <c r="P72" i="2"/>
  <c r="Q72" i="2" s="1"/>
  <c r="K72" i="2"/>
  <c r="P71" i="2"/>
  <c r="Q71" i="2" s="1"/>
  <c r="K71" i="2"/>
  <c r="P70" i="2"/>
  <c r="Q70" i="2" s="1"/>
  <c r="K70" i="2"/>
  <c r="P69" i="2"/>
  <c r="Q69" i="2" s="1"/>
  <c r="K69" i="2"/>
  <c r="P68" i="2"/>
  <c r="Q68" i="2" s="1"/>
  <c r="K68" i="2"/>
  <c r="P67" i="2"/>
  <c r="Q67" i="2" s="1"/>
  <c r="K67" i="2"/>
  <c r="P66" i="2"/>
  <c r="Q66" i="2" s="1"/>
  <c r="K66" i="2"/>
  <c r="P65" i="2"/>
  <c r="Q65" i="2" s="1"/>
  <c r="K65" i="2"/>
  <c r="P64" i="2"/>
  <c r="Q64" i="2" s="1"/>
  <c r="K64" i="2"/>
  <c r="P63" i="2"/>
  <c r="Q63" i="2" s="1"/>
  <c r="K63" i="2"/>
  <c r="P62" i="2"/>
  <c r="Q62" i="2" s="1"/>
  <c r="K62" i="2"/>
  <c r="P61" i="2"/>
  <c r="Q61" i="2" s="1"/>
  <c r="K61" i="2"/>
  <c r="P60" i="2"/>
  <c r="Q60" i="2" s="1"/>
  <c r="K60" i="2"/>
  <c r="P59" i="2"/>
  <c r="Q59" i="2" s="1"/>
  <c r="K59" i="2"/>
  <c r="P58" i="2"/>
  <c r="Q58" i="2" s="1"/>
  <c r="K58" i="2"/>
  <c r="P57" i="2"/>
  <c r="Q57" i="2" s="1"/>
  <c r="K57" i="2"/>
  <c r="P56" i="2"/>
  <c r="Q56" i="2" s="1"/>
  <c r="K56" i="2"/>
  <c r="P55" i="2"/>
  <c r="Q55" i="2" s="1"/>
  <c r="K55" i="2"/>
  <c r="P54" i="2"/>
  <c r="Q54" i="2" s="1"/>
  <c r="K54" i="2"/>
  <c r="P53" i="2"/>
  <c r="Q53" i="2" s="1"/>
  <c r="K53" i="2"/>
  <c r="P52" i="2"/>
  <c r="Q52" i="2" s="1"/>
  <c r="K52" i="2"/>
  <c r="P51" i="2"/>
  <c r="Q51" i="2" s="1"/>
  <c r="K51" i="2"/>
  <c r="P50" i="2"/>
  <c r="Q50" i="2" s="1"/>
  <c r="K50" i="2"/>
  <c r="P49" i="2"/>
  <c r="Q49" i="2" s="1"/>
  <c r="K49" i="2"/>
  <c r="P48" i="2"/>
  <c r="Q48" i="2" s="1"/>
  <c r="K48" i="2"/>
  <c r="P47" i="2"/>
  <c r="Q47" i="2" s="1"/>
  <c r="K47" i="2"/>
  <c r="P46" i="2"/>
  <c r="Q46" i="2" s="1"/>
  <c r="K46" i="2"/>
  <c r="P45" i="2"/>
  <c r="Q45" i="2" s="1"/>
  <c r="K45" i="2"/>
  <c r="P44" i="2"/>
  <c r="Q44" i="2" s="1"/>
  <c r="K44" i="2"/>
  <c r="P43" i="2"/>
  <c r="Q43" i="2" s="1"/>
  <c r="K43" i="2"/>
  <c r="P42" i="2"/>
  <c r="Q42" i="2" s="1"/>
  <c r="K42" i="2"/>
  <c r="P41" i="2"/>
  <c r="Q41" i="2" s="1"/>
  <c r="K41" i="2"/>
  <c r="P40" i="2"/>
  <c r="Q40" i="2" s="1"/>
  <c r="K40" i="2"/>
  <c r="P39" i="2"/>
  <c r="Q39" i="2" s="1"/>
  <c r="K39" i="2"/>
  <c r="P38" i="2"/>
  <c r="Q38" i="2" s="1"/>
  <c r="K38" i="2"/>
  <c r="P37" i="2"/>
  <c r="Q37" i="2" s="1"/>
  <c r="K37" i="2"/>
  <c r="P36" i="2"/>
  <c r="Q36" i="2" s="1"/>
  <c r="K36" i="2"/>
  <c r="P35" i="2"/>
  <c r="Q35" i="2" s="1"/>
  <c r="K35" i="2"/>
  <c r="P34" i="2"/>
  <c r="Q34" i="2" s="1"/>
  <c r="K34" i="2"/>
  <c r="P33" i="2"/>
  <c r="Q33" i="2" s="1"/>
  <c r="K33" i="2"/>
  <c r="P32" i="2"/>
  <c r="Q32" i="2" s="1"/>
  <c r="K32" i="2"/>
  <c r="P31" i="2"/>
  <c r="Q31" i="2" s="1"/>
  <c r="K31" i="2"/>
  <c r="P30" i="2"/>
  <c r="Q30" i="2" s="1"/>
  <c r="K30" i="2"/>
  <c r="P29" i="2"/>
  <c r="Q29" i="2" s="1"/>
  <c r="K29" i="2"/>
  <c r="P28" i="2"/>
  <c r="Q28" i="2" s="1"/>
  <c r="K28" i="2"/>
  <c r="P27" i="2"/>
  <c r="Q27" i="2" s="1"/>
  <c r="K27" i="2"/>
  <c r="P26" i="2"/>
  <c r="Q26" i="2" s="1"/>
  <c r="K26" i="2"/>
  <c r="P25" i="2"/>
  <c r="Q25" i="2" s="1"/>
  <c r="K25" i="2"/>
  <c r="P24" i="2"/>
  <c r="Q24" i="2" s="1"/>
  <c r="K24" i="2"/>
  <c r="P23" i="2"/>
  <c r="Q23" i="2" s="1"/>
  <c r="P22" i="2"/>
  <c r="Q22" i="2" s="1"/>
  <c r="K22" i="2"/>
  <c r="K21" i="2"/>
  <c r="K20" i="2"/>
  <c r="K19" i="2"/>
  <c r="K18" i="2"/>
  <c r="K17" i="2"/>
  <c r="K16" i="2"/>
  <c r="K15" i="2"/>
  <c r="K14" i="2"/>
  <c r="K13" i="2"/>
  <c r="K12" i="2"/>
  <c r="K11" i="2"/>
  <c r="P10" i="2"/>
  <c r="Q10" i="2" s="1"/>
  <c r="K10" i="2"/>
  <c r="P9" i="2"/>
  <c r="Q9" i="2" s="1"/>
  <c r="K9" i="2"/>
  <c r="P8" i="2"/>
  <c r="Q8" i="2" s="1"/>
  <c r="K8" i="2"/>
  <c r="P7" i="2"/>
  <c r="Q7" i="2" s="1"/>
  <c r="K7" i="2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P19" i="2" l="1"/>
  <c r="Q19" i="2" s="1"/>
  <c r="P17" i="2"/>
  <c r="Q17" i="2" s="1"/>
  <c r="P21" i="2"/>
  <c r="Q21" i="2" s="1"/>
  <c r="P18" i="2"/>
  <c r="Q18" i="2" s="1"/>
  <c r="P20" i="2"/>
  <c r="Q20" i="2" s="1"/>
  <c r="P16" i="2"/>
  <c r="Q16" i="2" s="1"/>
  <c r="G15" i="2"/>
  <c r="P14" i="2"/>
  <c r="Q14" i="2" s="1"/>
  <c r="C9" i="4"/>
  <c r="D9" i="4" s="1"/>
  <c r="P15" i="2"/>
  <c r="Q15" i="2" s="1"/>
  <c r="P11" i="2"/>
  <c r="Q11" i="2" s="1"/>
  <c r="P12" i="2"/>
  <c r="Q12" i="2" s="1"/>
  <c r="P13" i="2"/>
  <c r="Q13" i="2" s="1"/>
  <c r="D46" i="1"/>
  <c r="E46" i="1"/>
  <c r="C15" i="4"/>
  <c r="D15" i="4" s="1"/>
  <c r="C14" i="4"/>
  <c r="D14" i="4" s="1"/>
  <c r="C11" i="4"/>
  <c r="D11" i="4" s="1"/>
  <c r="D77" i="1"/>
  <c r="E77" i="1"/>
  <c r="B8" i="1"/>
  <c r="B7" i="1"/>
  <c r="B21" i="1"/>
  <c r="B19" i="1"/>
  <c r="B14" i="1"/>
  <c r="B20" i="1"/>
  <c r="B18" i="1"/>
  <c r="B13" i="1"/>
  <c r="E78" i="1"/>
  <c r="D78" i="1"/>
  <c r="E76" i="1"/>
  <c r="D76" i="1"/>
  <c r="E75" i="1"/>
  <c r="D75" i="1"/>
  <c r="E74" i="1"/>
  <c r="D74" i="1"/>
  <c r="D73" i="1"/>
  <c r="E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D62" i="1"/>
  <c r="E62" i="1"/>
  <c r="D61" i="1"/>
  <c r="E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D35" i="1"/>
  <c r="E35" i="1"/>
  <c r="E34" i="1"/>
  <c r="D34" i="1"/>
  <c r="E33" i="1"/>
  <c r="D33" i="1"/>
  <c r="E32" i="1"/>
  <c r="D32" i="1"/>
  <c r="E31" i="1"/>
  <c r="D31" i="1"/>
  <c r="E30" i="1"/>
  <c r="D30" i="1"/>
  <c r="E29" i="1"/>
  <c r="D29" i="1"/>
  <c r="D28" i="1"/>
  <c r="E27" i="1"/>
  <c r="D27" i="1"/>
  <c r="F46" i="1" l="1"/>
  <c r="C8" i="4"/>
  <c r="D8" i="4" s="1"/>
  <c r="C10" i="4"/>
  <c r="D10" i="4" s="1"/>
  <c r="E28" i="1"/>
  <c r="F32" i="1"/>
  <c r="F77" i="1"/>
  <c r="B15" i="1"/>
  <c r="C15" i="1" s="1"/>
  <c r="F51" i="1"/>
  <c r="F43" i="1"/>
  <c r="F41" i="1"/>
  <c r="F36" i="1"/>
  <c r="F34" i="1"/>
  <c r="F52" i="1"/>
  <c r="F48" i="1"/>
  <c r="F44" i="1"/>
  <c r="F40" i="1"/>
  <c r="D79" i="1"/>
  <c r="B9" i="1"/>
  <c r="F78" i="1"/>
  <c r="F45" i="1"/>
  <c r="F53" i="1"/>
  <c r="F33" i="1"/>
  <c r="F49" i="1"/>
  <c r="F76" i="1"/>
  <c r="F58" i="1"/>
  <c r="F56" i="1"/>
  <c r="F54" i="1"/>
  <c r="F59" i="1"/>
  <c r="F57" i="1"/>
  <c r="F55" i="1"/>
  <c r="F42" i="1"/>
  <c r="F39" i="1"/>
  <c r="F30" i="1"/>
  <c r="F37" i="1"/>
  <c r="F29" i="1"/>
  <c r="F74" i="1"/>
  <c r="F72" i="1"/>
  <c r="F70" i="1"/>
  <c r="F68" i="1"/>
  <c r="F66" i="1"/>
  <c r="F64" i="1"/>
  <c r="F75" i="1"/>
  <c r="F65" i="1"/>
  <c r="F63" i="1"/>
  <c r="F69" i="1"/>
  <c r="F50" i="1"/>
  <c r="F47" i="1"/>
  <c r="F31" i="1"/>
  <c r="F60" i="1"/>
  <c r="F67" i="1"/>
  <c r="B22" i="1"/>
  <c r="F27" i="1"/>
  <c r="F73" i="1"/>
  <c r="F71" i="1"/>
  <c r="F62" i="1"/>
  <c r="F61" i="1"/>
  <c r="F38" i="1"/>
  <c r="F35" i="1"/>
  <c r="F28" i="1" l="1"/>
  <c r="F79" i="1" s="1"/>
  <c r="E79" i="1"/>
  <c r="B10" i="1"/>
  <c r="C7" i="4"/>
  <c r="D7" i="4" s="1"/>
  <c r="C4" i="4" s="1"/>
  <c r="D4" i="4" s="1"/>
</calcChain>
</file>

<file path=xl/sharedStrings.xml><?xml version="1.0" encoding="utf-8"?>
<sst xmlns="http://schemas.openxmlformats.org/spreadsheetml/2006/main" count="359" uniqueCount="197">
  <si>
    <t>시산표</t>
  </si>
  <si>
    <t>기간</t>
  </si>
  <si>
    <t>전체 기간은 * 입력</t>
  </si>
  <si>
    <t>단위: 원</t>
  </si>
  <si>
    <t>핵심 결과</t>
  </si>
  <si>
    <t>총 차변 합계</t>
  </si>
  <si>
    <t>총 대변 합계</t>
  </si>
  <si>
    <t>차액</t>
  </si>
  <si>
    <t>판정</t>
  </si>
  <si>
    <t>손익 요약</t>
  </si>
  <si>
    <t>수익 합계</t>
  </si>
  <si>
    <t>비용 합계</t>
  </si>
  <si>
    <t>당기순손익</t>
  </si>
  <si>
    <t>부가세 신고자료</t>
  </si>
  <si>
    <t>과세 매출 공급가액</t>
  </si>
  <si>
    <t>매출세액</t>
  </si>
  <si>
    <t>과세 매입 공급가액</t>
  </si>
  <si>
    <t>매입세액</t>
  </si>
  <si>
    <t>납부(환급) 예상세액</t>
  </si>
  <si>
    <t>부가세액은 공급가액이 있는 라인(수익·비용 계정)에 입력합니다. 면세·간이과세 거래와 신고 전 세무 검토는 반영되지 않습니다.</t>
  </si>
  <si>
    <t>계정별 시산표</t>
  </si>
  <si>
    <t>코드</t>
  </si>
  <si>
    <t>계정명</t>
  </si>
  <si>
    <t>유형</t>
  </si>
  <si>
    <t>차변</t>
  </si>
  <si>
    <t>대변</t>
  </si>
  <si>
    <t>잔액</t>
  </si>
  <si>
    <t>합계</t>
  </si>
  <si>
    <t>전표 입력</t>
  </si>
  <si>
    <t>같은 전표번호의 차변 합계와 대변 합계는 같아야 합니다.</t>
  </si>
  <si>
    <t>계정코드는 '계정과목' 시트에서 선택합니다. 아래 샘플 전표는 지우고 사용하십시오.</t>
  </si>
  <si>
    <t>전표번호</t>
  </si>
  <si>
    <t>날짜</t>
  </si>
  <si>
    <t>증빙</t>
  </si>
  <si>
    <t>적요</t>
  </si>
  <si>
    <t>계정코드</t>
  </si>
  <si>
    <t>부가세액</t>
  </si>
  <si>
    <t>거래처</t>
  </si>
  <si>
    <t>비고</t>
  </si>
  <si>
    <t>부가세구분</t>
  </si>
  <si>
    <t>등록여부</t>
  </si>
  <si>
    <t>전표 차대차액</t>
  </si>
  <si>
    <t>차대 불일치</t>
  </si>
  <si>
    <t>기타</t>
  </si>
  <si>
    <t>세금계산서</t>
  </si>
  <si>
    <t>계정과목</t>
  </si>
  <si>
    <t>유형은 자산·부채·자본·수익·비용, 부가세구분은 과세·면세·불공제·해당없음 중 하나입니다.</t>
  </si>
  <si>
    <t>현금</t>
  </si>
  <si>
    <t>자산</t>
  </si>
  <si>
    <t>해당없음</t>
  </si>
  <si>
    <t>보통예금</t>
  </si>
  <si>
    <t>카드매출미정산금</t>
  </si>
  <si>
    <t>외상매출금</t>
  </si>
  <si>
    <t>부가세대급금</t>
  </si>
  <si>
    <t>미수금</t>
  </si>
  <si>
    <t>상품</t>
  </si>
  <si>
    <t>과세</t>
  </si>
  <si>
    <t>비품</t>
  </si>
  <si>
    <t>시설장치</t>
  </si>
  <si>
    <t>감가상각누계액</t>
  </si>
  <si>
    <t>임차보증금</t>
  </si>
  <si>
    <t>선급비용</t>
  </si>
  <si>
    <t>외상매입금</t>
  </si>
  <si>
    <t>부채</t>
  </si>
  <si>
    <t>미지급금</t>
  </si>
  <si>
    <t>미지급비용</t>
  </si>
  <si>
    <t>예수금(4대보험·원천세)</t>
  </si>
  <si>
    <t>부가세예수금</t>
  </si>
  <si>
    <t>선수금</t>
  </si>
  <si>
    <t>단기차입금</t>
  </si>
  <si>
    <t>퇴직급여충당부채</t>
  </si>
  <si>
    <t>자본금</t>
  </si>
  <si>
    <t>자본</t>
  </si>
  <si>
    <t>인출금</t>
  </si>
  <si>
    <t>이월결손금</t>
  </si>
  <si>
    <t>체험·입장료수입</t>
  </si>
  <si>
    <t>수익</t>
  </si>
  <si>
    <t>프로그램·교육수입</t>
  </si>
  <si>
    <t>매점매출</t>
  </si>
  <si>
    <t>임대수입</t>
  </si>
  <si>
    <t>이자수입</t>
  </si>
  <si>
    <t>면세</t>
  </si>
  <si>
    <t>잡이익</t>
  </si>
  <si>
    <t>급여</t>
  </si>
  <si>
    <t>비용</t>
  </si>
  <si>
    <t>상여금</t>
  </si>
  <si>
    <t>퇴직급여</t>
  </si>
  <si>
    <t>4대보험료(사업주부담)</t>
  </si>
  <si>
    <t>임차료</t>
  </si>
  <si>
    <t>수도광열비</t>
  </si>
  <si>
    <t>통신비</t>
  </si>
  <si>
    <t>보험료</t>
  </si>
  <si>
    <t>불공제</t>
  </si>
  <si>
    <t>세금과공과</t>
  </si>
  <si>
    <t>지급수수료(결제·카드)</t>
  </si>
  <si>
    <t>소모품비</t>
  </si>
  <si>
    <t>여비교통비</t>
  </si>
  <si>
    <t>차량유지비</t>
  </si>
  <si>
    <t>광고선전비</t>
  </si>
  <si>
    <t>접대비</t>
  </si>
  <si>
    <t>교육훈련비</t>
  </si>
  <si>
    <t>수선비</t>
  </si>
  <si>
    <t>외주용역비</t>
  </si>
  <si>
    <t>감가상각비</t>
  </si>
  <si>
    <t>잡비</t>
  </si>
  <si>
    <t>이자비용</t>
  </si>
  <si>
    <t>검증</t>
  </si>
  <si>
    <t>입력한 전표를 자동으로 진단합니다. 이 시트는 값을 바꾸지 않습니다.</t>
  </si>
  <si>
    <t>확인 필요 항목 수</t>
  </si>
  <si>
    <t>항목</t>
  </si>
  <si>
    <t>기준</t>
  </si>
  <si>
    <t>결과</t>
  </si>
  <si>
    <t>대차평형 차액 (총차변 - 총대변)</t>
  </si>
  <si>
    <t>전표별 차대 불일치 전표 행</t>
  </si>
  <si>
    <t>차변·대변 동시 입력 행</t>
  </si>
  <si>
    <t>적요만 있고 금액 없는 행</t>
  </si>
  <si>
    <t>미등록 계정코드 행</t>
  </si>
  <si>
    <t>날짜 누락 행</t>
  </si>
  <si>
    <t>증빙 미입력 행</t>
  </si>
  <si>
    <t>부가세액 입력·과세 아님 행</t>
  </si>
  <si>
    <t>기간 미표시 행 (날짜 형식 확인)</t>
  </si>
  <si>
    <t>V-2026-10-001</t>
    <phoneticPr fontId="9" type="noConversion"/>
  </si>
  <si>
    <t>자본금 납입</t>
    <phoneticPr fontId="9" type="noConversion"/>
  </si>
  <si>
    <t>대표</t>
    <phoneticPr fontId="9" type="noConversion"/>
  </si>
  <si>
    <t>개인자본</t>
    <phoneticPr fontId="9" type="noConversion"/>
  </si>
  <si>
    <t>V-2026-10-002</t>
    <phoneticPr fontId="9" type="noConversion"/>
  </si>
  <si>
    <t>계약서</t>
    <phoneticPr fontId="9" type="noConversion"/>
  </si>
  <si>
    <t>익명조합 출자금 입금</t>
    <phoneticPr fontId="9" type="noConversion"/>
  </si>
  <si>
    <t>기업은행</t>
    <phoneticPr fontId="9" type="noConversion"/>
  </si>
  <si>
    <t>사업용계좌 입금</t>
    <phoneticPr fontId="9" type="noConversion"/>
  </si>
  <si>
    <t>장기차입금</t>
    <phoneticPr fontId="9" type="noConversion"/>
  </si>
  <si>
    <t>부채</t>
    <phoneticPr fontId="9" type="noConversion"/>
  </si>
  <si>
    <t>해당없음</t>
    <phoneticPr fontId="9" type="noConversion"/>
  </si>
  <si>
    <t>익명조합원</t>
    <phoneticPr fontId="9" type="noConversion"/>
  </si>
  <si>
    <t>5년 원금보장 특약</t>
    <phoneticPr fontId="9" type="noConversion"/>
  </si>
  <si>
    <t>2026-10</t>
  </si>
  <si>
    <t>V-2026-10-003</t>
    <phoneticPr fontId="9" type="noConversion"/>
  </si>
  <si>
    <t>봉화군청</t>
    <phoneticPr fontId="9" type="noConversion"/>
  </si>
  <si>
    <t>1년차 사용료 미지급금</t>
    <phoneticPr fontId="9" type="noConversion"/>
  </si>
  <si>
    <t>V-2026-10-004</t>
    <phoneticPr fontId="9" type="noConversion"/>
  </si>
  <si>
    <t>3회 분납건</t>
    <phoneticPr fontId="9" type="noConversion"/>
  </si>
  <si>
    <t>V-2026-10-005</t>
    <phoneticPr fontId="9" type="noConversion"/>
  </si>
  <si>
    <t>현금영수증</t>
  </si>
  <si>
    <t>상품권</t>
    <phoneticPr fontId="9" type="noConversion"/>
  </si>
  <si>
    <t>카드전표</t>
  </si>
  <si>
    <t>개인고객</t>
    <phoneticPr fontId="9" type="noConversion"/>
  </si>
  <si>
    <t>현금시재</t>
    <phoneticPr fontId="9" type="noConversion"/>
  </si>
  <si>
    <t>봉화사랑상품권</t>
    <phoneticPr fontId="9" type="noConversion"/>
  </si>
  <si>
    <t>카드사</t>
    <phoneticPr fontId="9" type="noConversion"/>
  </si>
  <si>
    <t>미정산금</t>
    <phoneticPr fontId="9" type="noConversion"/>
  </si>
  <si>
    <t>공급가액</t>
    <phoneticPr fontId="9" type="noConversion"/>
  </si>
  <si>
    <t>카페</t>
    <phoneticPr fontId="9" type="noConversion"/>
  </si>
  <si>
    <t>세무서</t>
    <phoneticPr fontId="9" type="noConversion"/>
  </si>
  <si>
    <t>부가세 10%</t>
    <phoneticPr fontId="9" type="noConversion"/>
  </si>
  <si>
    <t>V-2026-10-006</t>
    <phoneticPr fontId="9" type="noConversion"/>
  </si>
  <si>
    <t>봉화군 어린이집 연합회</t>
    <phoneticPr fontId="9" type="noConversion"/>
  </si>
  <si>
    <t>V-2026-10-007</t>
    <phoneticPr fontId="9" type="noConversion"/>
  </si>
  <si>
    <t>카페 우유 구입</t>
    <phoneticPr fontId="9" type="noConversion"/>
  </si>
  <si>
    <t>하나로마트</t>
    <phoneticPr fontId="9" type="noConversion"/>
  </si>
  <si>
    <t>재료비</t>
    <phoneticPr fontId="9" type="noConversion"/>
  </si>
  <si>
    <t>매입세액</t>
    <phoneticPr fontId="9" type="noConversion"/>
  </si>
  <si>
    <t>농협카드</t>
    <phoneticPr fontId="9" type="noConversion"/>
  </si>
  <si>
    <t>미지급금</t>
    <phoneticPr fontId="9" type="noConversion"/>
  </si>
  <si>
    <t>테두리자동화</t>
    <phoneticPr fontId="9" type="noConversion"/>
  </si>
  <si>
    <t>V-2026-10-008</t>
    <phoneticPr fontId="9" type="noConversion"/>
  </si>
  <si>
    <t>1년차 시설 사용료</t>
    <phoneticPr fontId="9" type="noConversion"/>
  </si>
  <si>
    <t>1년차 시설 사용료 부가세</t>
    <phoneticPr fontId="9" type="noConversion"/>
  </si>
  <si>
    <t>1년차 시설 사용료 1회차 납부</t>
    <phoneticPr fontId="9" type="noConversion"/>
  </si>
  <si>
    <t>1년차 시설 사용료 1회차 출금</t>
    <phoneticPr fontId="9" type="noConversion"/>
  </si>
  <si>
    <t>일일매출 현금입금</t>
    <phoneticPr fontId="9" type="noConversion"/>
  </si>
  <si>
    <t>일일매출 상품권수납</t>
    <phoneticPr fontId="9" type="noConversion"/>
  </si>
  <si>
    <t>일일매출 카드결제</t>
    <phoneticPr fontId="9" type="noConversion"/>
  </si>
  <si>
    <t>일일매출 부가세 예수</t>
    <phoneticPr fontId="9" type="noConversion"/>
  </si>
  <si>
    <t>놀이동 매출</t>
    <phoneticPr fontId="9" type="noConversion"/>
  </si>
  <si>
    <t>사무동 매출</t>
    <phoneticPr fontId="9" type="noConversion"/>
  </si>
  <si>
    <t>시설 전체 대관료 입금</t>
    <phoneticPr fontId="9" type="noConversion"/>
  </si>
  <si>
    <t>시설 전체 대관 매출</t>
    <phoneticPr fontId="9" type="noConversion"/>
  </si>
  <si>
    <t>카페 식자재 부가세</t>
    <phoneticPr fontId="9" type="noConversion"/>
  </si>
  <si>
    <t>마트 법인카드 결제</t>
    <phoneticPr fontId="9" type="noConversion"/>
  </si>
  <si>
    <t>전표교차</t>
    <phoneticPr fontId="9" type="noConversion"/>
  </si>
  <si>
    <t>기타</t>
    <phoneticPr fontId="9" type="noConversion"/>
  </si>
  <si>
    <t>10/6 일일매출 현금시재 입금</t>
    <phoneticPr fontId="9" type="noConversion"/>
  </si>
  <si>
    <t>개인고객</t>
    <phoneticPr fontId="9" type="noConversion"/>
  </si>
  <si>
    <t>봉화군민 기본권(현금)</t>
    <phoneticPr fontId="9" type="noConversion"/>
  </si>
  <si>
    <t>V-2026-10-008</t>
    <phoneticPr fontId="9" type="noConversion"/>
  </si>
  <si>
    <t>카드전표</t>
    <phoneticPr fontId="9" type="noConversion"/>
  </si>
  <si>
    <t>10/6 일일매출 카드결제</t>
    <phoneticPr fontId="9" type="noConversion"/>
  </si>
  <si>
    <t>토스카드사</t>
    <phoneticPr fontId="9" type="noConversion"/>
  </si>
  <si>
    <t>카페+영주종합권(카드)</t>
    <phoneticPr fontId="9" type="noConversion"/>
  </si>
  <si>
    <t>10/6 놀이동 입장권 매출</t>
    <phoneticPr fontId="9" type="noConversion"/>
  </si>
  <si>
    <t>공급가액(봉화+영주)</t>
    <phoneticPr fontId="9" type="noConversion"/>
  </si>
  <si>
    <t>10/6 카페 식음료 매출</t>
    <phoneticPr fontId="9" type="noConversion"/>
  </si>
  <si>
    <t>공급가액(10%할인)</t>
    <phoneticPr fontId="9" type="noConversion"/>
  </si>
  <si>
    <t>기타</t>
    <phoneticPr fontId="9" type="noConversion"/>
  </si>
  <si>
    <t>10/6 일일매출 부가세 예수</t>
    <phoneticPr fontId="9" type="noConversion"/>
  </si>
  <si>
    <t>세무서</t>
    <phoneticPr fontId="9" type="noConversion"/>
  </si>
  <si>
    <t>부가세 10%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</si>
</sst>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>
    <font>
      <sz val="11"/>
      <name val="Carlito"/>
    </font>
    <font>
      <b/>
      <sz val="14"/>
      <color rgb="FF1A1A1A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i/>
      <sz val="10"/>
      <color rgb="FF404040"/>
      <name val="Arial"/>
      <family val="2"/>
    </font>
    <font>
      <b/>
      <i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i/>
      <sz val="10"/>
      <color rgb="FFFFFFFF"/>
      <name val="맑은 고딕"/>
      <family val="3"/>
      <charset val="129"/>
    </font>
    <font>
      <sz val="9.5"/>
      <name val="맑은 고딕"/>
      <family val="3"/>
      <charset val="129"/>
    </font>
    <font>
      <i/>
      <sz val="9.5"/>
      <color rgb="FF404040"/>
      <name val="맑은 고딕"/>
      <family val="3"/>
      <charset val="129"/>
    </font>
    <font>
      <b/>
      <sz val="9.5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1F5F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404040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medium">
        <color rgb="FF475C68"/>
      </top>
      <bottom/>
      <diagonal/>
    </border>
    <border>
      <left style="thin">
        <color rgb="FFE0E0E0"/>
      </left>
      <right style="thin">
        <color rgb="FFE0E0E0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475569"/>
      </bottom>
      <diagonal/>
    </border>
    <border>
      <left/>
      <right/>
      <top/>
      <bottom style="medium">
        <color rgb="FF475569"/>
      </bottom>
      <diagonal/>
    </border>
  </borders>
  <cellStyleXfs count="2">
    <xf numFmtId="0" fontId="0" fillId="0" borderId="0"/>
    <xf numFmtId="0" fontId="8" fillId="0" borderId="0"/>
  </cellStyleXfs>
  <cellXfs count="104">
    <xf numFmtId="0" fontId="0" fillId="0" borderId="0" xfId="0"/>
    <xf numFmtId="0" fontId="1" fillId="0" borderId="0" xfId="1" applyFont="1"/>
    <xf numFmtId="0" fontId="2" fillId="0" borderId="0" xfId="1" applyFont="1"/>
    <xf numFmtId="0" fontId="0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center" vertical="center"/>
    </xf>
    <xf numFmtId="0" fontId="0" fillId="0" borderId="1" xfId="1" applyFont="1" applyBorder="1"/>
    <xf numFmtId="0" fontId="0" fillId="0" borderId="1" xfId="1" applyFont="1" applyBorder="1" applyAlignment="1">
      <alignment horizontal="center"/>
    </xf>
    <xf numFmtId="0" fontId="5" fillId="2" borderId="0" xfId="1" applyFont="1" applyFill="1" applyAlignment="1">
      <alignment horizontal="center" vertical="center"/>
    </xf>
    <xf numFmtId="3" fontId="0" fillId="0" borderId="1" xfId="1" applyNumberFormat="1" applyFont="1" applyBorder="1"/>
    <xf numFmtId="3" fontId="4" fillId="0" borderId="0" xfId="1" applyNumberFormat="1" applyFont="1"/>
    <xf numFmtId="0" fontId="0" fillId="0" borderId="2" xfId="1" applyFont="1" applyBorder="1"/>
    <xf numFmtId="0" fontId="6" fillId="0" borderId="0" xfId="1" applyFont="1"/>
    <xf numFmtId="0" fontId="6" fillId="3" borderId="0" xfId="1" applyFont="1" applyFill="1" applyAlignment="1">
      <alignment horizontal="center"/>
    </xf>
    <xf numFmtId="0" fontId="7" fillId="0" borderId="0" xfId="1" applyFont="1"/>
    <xf numFmtId="3" fontId="0" fillId="0" borderId="0" xfId="1" applyNumberFormat="1" applyFont="1"/>
    <xf numFmtId="3" fontId="6" fillId="0" borderId="0" xfId="1" applyNumberFormat="1" applyFont="1"/>
    <xf numFmtId="0" fontId="6" fillId="0" borderId="3" xfId="1" applyFont="1" applyBorder="1"/>
    <xf numFmtId="3" fontId="6" fillId="0" borderId="3" xfId="1" applyNumberFormat="1" applyFont="1" applyBorder="1"/>
    <xf numFmtId="0" fontId="7" fillId="0" borderId="1" xfId="1" applyFont="1" applyBorder="1"/>
    <xf numFmtId="3" fontId="0" fillId="0" borderId="1" xfId="1" applyNumberFormat="1" applyFont="1" applyBorder="1" applyAlignment="1">
      <alignment horizontal="center"/>
    </xf>
    <xf numFmtId="0" fontId="10" fillId="0" borderId="1" xfId="1" applyFont="1" applyBorder="1"/>
    <xf numFmtId="0" fontId="0" fillId="0" borderId="1" xfId="1" applyFont="1" applyBorder="1" applyAlignment="1">
      <alignment horizontal="left"/>
    </xf>
    <xf numFmtId="0" fontId="0" fillId="0" borderId="0" xfId="0" applyAlignment="1">
      <alignment horizontal="center"/>
    </xf>
    <xf numFmtId="0" fontId="13" fillId="0" borderId="4" xfId="1" applyFont="1" applyBorder="1" applyAlignment="1">
      <alignment horizontal="center" vertical="center"/>
    </xf>
    <xf numFmtId="3" fontId="13" fillId="0" borderId="4" xfId="1" applyNumberFormat="1" applyFont="1" applyBorder="1" applyAlignment="1">
      <alignment horizontal="right" vertical="center"/>
    </xf>
    <xf numFmtId="0" fontId="13" fillId="0" borderId="1" xfId="1" applyFont="1" applyBorder="1" applyAlignment="1">
      <alignment horizontal="center" vertical="center"/>
    </xf>
    <xf numFmtId="3" fontId="13" fillId="0" borderId="1" xfId="1" applyNumberFormat="1" applyFont="1" applyBorder="1" applyAlignment="1">
      <alignment horizontal="right" vertical="center"/>
    </xf>
    <xf numFmtId="0" fontId="15" fillId="0" borderId="4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6" fontId="13" fillId="0" borderId="4" xfId="1" applyNumberFormat="1" applyFont="1" applyBorder="1" applyAlignment="1">
      <alignment horizontal="center" vertical="center"/>
    </xf>
    <xf numFmtId="176" fontId="13" fillId="0" borderId="1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3" fontId="14" fillId="0" borderId="0" xfId="1" applyNumberFormat="1" applyFont="1" applyAlignment="1">
      <alignment horizontal="right" vertical="center"/>
    </xf>
    <xf numFmtId="0" fontId="11" fillId="5" borderId="0" xfId="1" applyFont="1" applyFill="1" applyAlignment="1">
      <alignment horizontal="center" vertical="center"/>
    </xf>
    <xf numFmtId="0" fontId="12" fillId="5" borderId="0" xfId="1" applyFont="1" applyFill="1" applyAlignment="1">
      <alignment horizontal="center" vertical="center"/>
    </xf>
    <xf numFmtId="0" fontId="14" fillId="6" borderId="5" xfId="1" applyFont="1" applyFill="1" applyBorder="1" applyAlignment="1">
      <alignment horizontal="center" vertical="center"/>
    </xf>
    <xf numFmtId="0" fontId="14" fillId="6" borderId="5" xfId="1" applyFont="1" applyFill="1" applyBorder="1" applyAlignment="1">
      <alignment horizontal="left" vertical="center"/>
    </xf>
    <xf numFmtId="3" fontId="14" fillId="6" borderId="5" xfId="1" applyNumberFormat="1" applyFont="1" applyFill="1" applyBorder="1" applyAlignment="1">
      <alignment horizontal="right" vertical="center"/>
    </xf>
    <xf numFmtId="0" fontId="15" fillId="6" borderId="5" xfId="1" applyFont="1" applyFill="1" applyBorder="1" applyAlignment="1">
      <alignment horizontal="center" vertical="center"/>
    </xf>
    <xf numFmtId="176" fontId="13" fillId="6" borderId="5" xfId="1" applyNumberFormat="1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horizontal="left" vertical="center"/>
    </xf>
    <xf numFmtId="3" fontId="13" fillId="6" borderId="5" xfId="1" applyNumberFormat="1" applyFont="1" applyFill="1" applyBorder="1" applyAlignment="1">
      <alignment horizontal="right" vertical="center"/>
    </xf>
    <xf numFmtId="0" fontId="14" fillId="6" borderId="6" xfId="1" applyFont="1" applyFill="1" applyBorder="1" applyAlignment="1">
      <alignment horizontal="center" vertical="center"/>
    </xf>
    <xf numFmtId="0" fontId="14" fillId="6" borderId="6" xfId="1" applyFont="1" applyFill="1" applyBorder="1" applyAlignment="1">
      <alignment horizontal="left" vertical="center"/>
    </xf>
    <xf numFmtId="3" fontId="14" fillId="6" borderId="6" xfId="1" applyNumberFormat="1" applyFont="1" applyFill="1" applyBorder="1" applyAlignment="1">
      <alignment horizontal="right" vertical="center"/>
    </xf>
    <xf numFmtId="0" fontId="15" fillId="6" borderId="6" xfId="1" applyFont="1" applyFill="1" applyBorder="1" applyAlignment="1">
      <alignment horizontal="center" vertical="center"/>
    </xf>
    <xf numFmtId="176" fontId="13" fillId="6" borderId="6" xfId="1" applyNumberFormat="1" applyFont="1" applyFill="1" applyBorder="1" applyAlignment="1">
      <alignment horizontal="center" vertical="center"/>
    </xf>
    <xf numFmtId="0" fontId="13" fillId="6" borderId="6" xfId="1" applyFont="1" applyFill="1" applyBorder="1" applyAlignment="1">
      <alignment horizontal="center" vertical="center"/>
    </xf>
    <xf numFmtId="0" fontId="13" fillId="6" borderId="6" xfId="1" applyFont="1" applyFill="1" applyBorder="1" applyAlignment="1">
      <alignment horizontal="left" vertical="center"/>
    </xf>
    <xf numFmtId="3" fontId="13" fillId="6" borderId="6" xfId="1" applyNumberFormat="1" applyFont="1" applyFill="1" applyBorder="1" applyAlignment="1">
      <alignment horizontal="right" vertical="center"/>
    </xf>
    <xf numFmtId="0" fontId="14" fillId="4" borderId="5" xfId="1" applyFont="1" applyFill="1" applyBorder="1" applyAlignment="1">
      <alignment horizontal="center" vertical="center"/>
    </xf>
    <xf numFmtId="0" fontId="14" fillId="4" borderId="5" xfId="1" applyFont="1" applyFill="1" applyBorder="1" applyAlignment="1">
      <alignment horizontal="left" vertical="center"/>
    </xf>
    <xf numFmtId="3" fontId="14" fillId="4" borderId="5" xfId="1" applyNumberFormat="1" applyFont="1" applyFill="1" applyBorder="1" applyAlignment="1">
      <alignment horizontal="right" vertical="center"/>
    </xf>
    <xf numFmtId="0" fontId="15" fillId="4" borderId="5" xfId="1" applyFont="1" applyFill="1" applyBorder="1" applyAlignment="1">
      <alignment horizontal="center" vertical="center"/>
    </xf>
    <xf numFmtId="176" fontId="13" fillId="4" borderId="5" xfId="1" applyNumberFormat="1" applyFont="1" applyFill="1" applyBorder="1" applyAlignment="1">
      <alignment horizontal="center" vertical="center"/>
    </xf>
    <xf numFmtId="0" fontId="13" fillId="4" borderId="5" xfId="1" applyFont="1" applyFill="1" applyBorder="1" applyAlignment="1">
      <alignment horizontal="center" vertical="center"/>
    </xf>
    <xf numFmtId="0" fontId="13" fillId="4" borderId="5" xfId="1" applyFont="1" applyFill="1" applyBorder="1" applyAlignment="1">
      <alignment horizontal="left" vertical="center"/>
    </xf>
    <xf numFmtId="3" fontId="13" fillId="4" borderId="5" xfId="1" applyNumberFormat="1" applyFont="1" applyFill="1" applyBorder="1" applyAlignment="1">
      <alignment horizontal="right" vertical="center"/>
    </xf>
    <xf numFmtId="0" fontId="13" fillId="4" borderId="6" xfId="1" applyFont="1" applyFill="1" applyBorder="1" applyAlignment="1">
      <alignment horizontal="left" vertical="center"/>
    </xf>
    <xf numFmtId="0" fontId="13" fillId="4" borderId="6" xfId="1" applyFont="1" applyFill="1" applyBorder="1" applyAlignment="1">
      <alignment horizontal="center" vertical="center"/>
    </xf>
    <xf numFmtId="3" fontId="13" fillId="4" borderId="6" xfId="1" applyNumberFormat="1" applyFont="1" applyFill="1" applyBorder="1" applyAlignment="1">
      <alignment horizontal="right" vertical="center"/>
    </xf>
    <xf numFmtId="0" fontId="14" fillId="4" borderId="6" xfId="1" applyFont="1" applyFill="1" applyBorder="1" applyAlignment="1">
      <alignment horizontal="center" vertical="center"/>
    </xf>
    <xf numFmtId="0" fontId="14" fillId="4" borderId="6" xfId="1" applyFont="1" applyFill="1" applyBorder="1" applyAlignment="1">
      <alignment horizontal="left" vertical="center"/>
    </xf>
    <xf numFmtId="3" fontId="14" fillId="4" borderId="6" xfId="1" applyNumberFormat="1" applyFont="1" applyFill="1" applyBorder="1" applyAlignment="1">
      <alignment horizontal="right" vertical="center"/>
    </xf>
    <xf numFmtId="0" fontId="15" fillId="4" borderId="6" xfId="1" applyFont="1" applyFill="1" applyBorder="1" applyAlignment="1">
      <alignment horizontal="center" vertical="center"/>
    </xf>
    <xf numFmtId="176" fontId="13" fillId="4" borderId="6" xfId="1" applyNumberFormat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176" fontId="13" fillId="0" borderId="7" xfId="1" applyNumberFormat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left" vertical="center"/>
    </xf>
    <xf numFmtId="3" fontId="13" fillId="0" borderId="7" xfId="1" applyNumberFormat="1" applyFont="1" applyBorder="1" applyAlignment="1">
      <alignment horizontal="right" vertical="center"/>
    </xf>
    <xf numFmtId="0" fontId="14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left" vertical="center"/>
    </xf>
    <xf numFmtId="3" fontId="14" fillId="0" borderId="7" xfId="1" applyNumberFormat="1" applyFont="1" applyBorder="1" applyAlignment="1">
      <alignment horizontal="right" vertical="center"/>
    </xf>
    <xf numFmtId="0" fontId="15" fillId="0" borderId="8" xfId="1" applyFont="1" applyBorder="1" applyAlignment="1">
      <alignment horizontal="center" vertical="center"/>
    </xf>
    <xf numFmtId="176" fontId="13" fillId="0" borderId="8" xfId="1" applyNumberFormat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8" xfId="1" applyFont="1" applyBorder="1" applyAlignment="1">
      <alignment horizontal="left" vertical="center"/>
    </xf>
    <xf numFmtId="3" fontId="13" fillId="0" borderId="8" xfId="1" applyNumberFormat="1" applyFont="1" applyBorder="1" applyAlignment="1">
      <alignment horizontal="right" vertical="center"/>
    </xf>
    <xf numFmtId="0" fontId="14" fillId="0" borderId="8" xfId="1" applyFont="1" applyBorder="1" applyAlignment="1">
      <alignment horizontal="center" vertical="center"/>
    </xf>
    <xf numFmtId="0" fontId="14" fillId="0" borderId="8" xfId="1" applyFont="1" applyBorder="1" applyAlignment="1">
      <alignment horizontal="left" vertical="center"/>
    </xf>
    <xf numFmtId="3" fontId="14" fillId="0" borderId="8" xfId="1" applyNumberFormat="1" applyFont="1" applyBorder="1" applyAlignment="1">
      <alignment horizontal="right" vertical="center"/>
    </xf>
    <xf numFmtId="0" fontId="15" fillId="0" borderId="9" xfId="1" applyFont="1" applyBorder="1" applyAlignment="1">
      <alignment horizontal="center" vertical="center"/>
    </xf>
    <xf numFmtId="176" fontId="13" fillId="0" borderId="9" xfId="1" applyNumberFormat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9" xfId="1" applyFont="1" applyBorder="1" applyAlignment="1">
      <alignment horizontal="left" vertical="center"/>
    </xf>
    <xf numFmtId="3" fontId="13" fillId="0" borderId="9" xfId="1" applyNumberFormat="1" applyFont="1" applyBorder="1" applyAlignment="1">
      <alignment horizontal="right" vertical="center"/>
    </xf>
    <xf numFmtId="0" fontId="14" fillId="0" borderId="9" xfId="1" applyFont="1" applyBorder="1" applyAlignment="1">
      <alignment horizontal="center" vertical="center"/>
    </xf>
    <xf numFmtId="0" fontId="14" fillId="0" borderId="9" xfId="1" applyFont="1" applyBorder="1" applyAlignment="1">
      <alignment horizontal="left" vertical="center"/>
    </xf>
    <xf numFmtId="3" fontId="14" fillId="0" borderId="9" xfId="1" applyNumberFormat="1" applyFont="1" applyBorder="1" applyAlignment="1">
      <alignment horizontal="right" vertical="center"/>
    </xf>
    <xf numFmtId="0" fontId="15" fillId="0" borderId="10" xfId="1" applyFont="1" applyBorder="1" applyAlignment="1">
      <alignment horizontal="center" vertical="center"/>
    </xf>
    <xf numFmtId="176" fontId="13" fillId="0" borderId="10" xfId="1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0" xfId="1" applyFont="1" applyBorder="1" applyAlignment="1">
      <alignment horizontal="left" vertical="center"/>
    </xf>
    <xf numFmtId="3" fontId="13" fillId="0" borderId="10" xfId="1" applyNumberFormat="1" applyFont="1" applyBorder="1" applyAlignment="1">
      <alignment horizontal="right" vertical="center"/>
    </xf>
    <xf numFmtId="0" fontId="14" fillId="0" borderId="10" xfId="1" applyFont="1" applyBorder="1" applyAlignment="1">
      <alignment horizontal="center" vertical="center"/>
    </xf>
    <xf numFmtId="0" fontId="14" fillId="0" borderId="10" xfId="1" applyFont="1" applyBorder="1" applyAlignment="1">
      <alignment horizontal="left" vertical="center"/>
    </xf>
    <xf numFmtId="3" fontId="14" fillId="0" borderId="10" xfId="1" applyNumberFormat="1" applyFont="1" applyBorder="1" applyAlignment="1">
      <alignment horizontal="right" vertical="center"/>
    </xf>
    <xf numFmtId="3" fontId="4" fillId="0" borderId="11" xfId="1" applyNumberFormat="1" applyFont="1" applyBorder="1"/>
  </cellXfs>
  <cellStyles count="2">
    <cellStyle name="Normal" xfId="1" xr:uid="{00000000-0005-0000-0000-000000000000}"/>
    <cellStyle name="표준" xfId="0" builtinId="0"/>
  </cellStyles>
  <dxfs count="6">
    <dxf>
      <font>
        <b/>
        <color rgb="FFB3261E"/>
      </font>
      <fill>
        <patternFill patternType="solid">
          <bgColor rgb="FFFDE7E9"/>
        </patternFill>
      </fill>
    </dxf>
    <dxf>
      <font>
        <b/>
        <color rgb="FFB3261E"/>
      </font>
      <fill>
        <patternFill patternType="solid">
          <bgColor rgb="FFFDE7E9"/>
        </patternFill>
      </fill>
    </dxf>
    <dxf>
      <font>
        <b/>
        <i val="0"/>
        <color rgb="FFD21E1E"/>
      </font>
      <fill>
        <patternFill>
          <bgColor rgb="FFFEDDDC"/>
        </patternFill>
      </fill>
    </dxf>
    <dxf>
      <border>
        <top style="thin">
          <color rgb="FF475C68"/>
        </top>
      </border>
    </dxf>
    <dxf>
      <fill>
        <patternFill>
          <bgColor rgb="FFF1F5F9"/>
        </patternFill>
      </fill>
    </dxf>
    <dxf>
      <font>
        <b/>
        <color rgb="FFB3261E"/>
      </font>
      <fill>
        <patternFill patternType="solid">
          <bgColor rgb="FFFDE7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D77125-28E5-41E8-9807-577C8265751B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K1MaGbS4uWT94KKL2085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F79"/>
  <sheetViews>
    <sheetView showGridLines="0" workbookViewId="0">
      <selection activeCell="F16" sqref="F16"/>
    </sheetView>
  </sheetViews>
  <sheetFormatPr defaultRowHeight="13.5"/>
  <cols>
    <col min="1" max="1" width="26" customWidth="1"/>
    <col min="2" max="2" width="22" customWidth="1"/>
    <col min="3" max="3" width="10" customWidth="1"/>
    <col min="4" max="6" width="15" customWidth="1"/>
  </cols>
  <sheetData>
    <row r="2" spans="1:6" ht="17.649999999999999">
      <c r="A2" s="1" t="s">
        <v>0</v>
      </c>
    </row>
    <row r="3" spans="1:6">
      <c r="A3" s="11"/>
      <c r="B3" s="11"/>
      <c r="C3" s="11"/>
      <c r="D3" s="11"/>
      <c r="E3" s="11"/>
      <c r="F3" s="11"/>
    </row>
    <row r="4" spans="1:6" ht="13.9">
      <c r="A4" s="12" t="s">
        <v>1</v>
      </c>
      <c r="B4" s="13" t="s">
        <v>135</v>
      </c>
      <c r="D4" s="2" t="s">
        <v>2</v>
      </c>
      <c r="F4" s="2" t="s">
        <v>3</v>
      </c>
    </row>
    <row r="6" spans="1:6" ht="13.9">
      <c r="A6" s="4" t="s">
        <v>4</v>
      </c>
      <c r="B6" s="3"/>
      <c r="C6" s="3"/>
      <c r="D6" s="3"/>
    </row>
    <row r="7" spans="1:6">
      <c r="A7" s="14" t="s">
        <v>5</v>
      </c>
      <c r="B7" s="15">
        <f>SUMIFS(전표!$F$7:$F$282,전표!$K$7:$K$282,$B$4)</f>
        <v>106592717</v>
      </c>
    </row>
    <row r="8" spans="1:6">
      <c r="A8" s="14" t="s">
        <v>6</v>
      </c>
      <c r="B8" s="15">
        <f>SUMIFS(전표!$G$7:$G$282,전표!$K$7:$K$282,$B$4)</f>
        <v>106592717</v>
      </c>
    </row>
    <row r="9" spans="1:6">
      <c r="A9" s="14" t="s">
        <v>7</v>
      </c>
      <c r="B9" s="15">
        <f>B7-B8</f>
        <v>0</v>
      </c>
    </row>
    <row r="10" spans="1:6" ht="13.9">
      <c r="A10" s="14" t="s">
        <v>8</v>
      </c>
      <c r="B10" s="12" t="str">
        <f>IF(ABS(B9)&lt;1,"일치","불일치 (원장 확인 필요)")</f>
        <v>일치</v>
      </c>
    </row>
    <row r="12" spans="1:6" ht="13.9">
      <c r="A12" s="4" t="s">
        <v>9</v>
      </c>
      <c r="B12" s="3"/>
      <c r="C12" s="3"/>
      <c r="D12" s="3"/>
    </row>
    <row r="13" spans="1:6">
      <c r="A13" s="14" t="s">
        <v>10</v>
      </c>
      <c r="B13" s="15">
        <f>SUMIFS(전표!$G$7:$G$282,전표!$M$7:$M$282,"수익",전표!$K$7:$K$282,$B$4)-SUMIFS(전표!$F$7:$F$282,전표!$M$7:$M$282,"수익",전표!$K$7:$K$282,$B$4)</f>
        <v>3155500</v>
      </c>
    </row>
    <row r="14" spans="1:6">
      <c r="A14" s="14" t="s">
        <v>11</v>
      </c>
      <c r="B14" s="15">
        <f>SUMIFS(전표!$F$7:$F$282,전표!$M$7:$M$282,"비용",전표!$K$7:$K$282,$B$4)-SUMIFS(전표!$G$7:$G$282,전표!$M$7:$M$282,"비용",전표!$K$7:$K$282,$B$4)</f>
        <v>43050000</v>
      </c>
    </row>
    <row r="15" spans="1:6" ht="13.9">
      <c r="A15" s="12" t="s">
        <v>12</v>
      </c>
      <c r="B15" s="16">
        <f>B13-B14</f>
        <v>-39894500</v>
      </c>
      <c r="C15" s="12" t="str">
        <f>IF(B15&gt;0,"흑자",IF(B15&lt;0,"적자","손익 없음"))</f>
        <v>적자</v>
      </c>
    </row>
    <row r="17" spans="1:6" ht="13.9">
      <c r="A17" s="4" t="s">
        <v>13</v>
      </c>
      <c r="B17" s="3"/>
      <c r="C17" s="3"/>
      <c r="D17" s="3"/>
    </row>
    <row r="18" spans="1:6">
      <c r="A18" s="14" t="s">
        <v>14</v>
      </c>
      <c r="B18" s="15">
        <f>SUMIFS(전표!$G$7:$G$282,전표!$M$7:$M$282,"수익",전표!$N$7:$N$282,"과세",전표!$K$7:$K$282,$B$4)-SUMIFS(전표!$F$7:$F$282,전표!$M$7:$M$282,"수익",전표!$N$7:$N$282,"과세",전표!$K$7:$K$282,$B$4)</f>
        <v>3155500</v>
      </c>
    </row>
    <row r="19" spans="1:6">
      <c r="A19" s="14" t="s">
        <v>15</v>
      </c>
      <c r="B19" s="15">
        <f>SUMIFS(전표!$H$7:$H$282,전표!$M$7:$M$282,"수익",전표!$N$7:$N$282,"과세",전표!$K$7:$K$282,$B$4)</f>
        <v>307677</v>
      </c>
    </row>
    <row r="20" spans="1:6">
      <c r="A20" s="14" t="s">
        <v>16</v>
      </c>
      <c r="B20" s="15">
        <f>SUMIFS(전표!$F$7:$F$282,전표!$M$7:$M$282,"비용",전표!$N$7:$N$282,"과세",전표!$K$7:$K$282,$B$4)+SUMIFS(전표!$F$7:$F$282,전표!$M$7:$M$282,"자산",전표!$N$7:$N$282,"과세",전표!$K$7:$K$282,$B$4)</f>
        <v>43050000</v>
      </c>
    </row>
    <row r="21" spans="1:6">
      <c r="A21" s="14" t="s">
        <v>17</v>
      </c>
      <c r="B21" s="15">
        <f>SUMIFS(전표!$H$7:$H$282,전표!$M$7:$M$282,"비용",전표!$N$7:$N$282,"과세",전표!$K$7:$K$282,$B$4)+SUMIFS(전표!$H$7:$H$282,전표!$M$7:$M$282,"자산",전표!$N$7:$N$282,"과세",전표!$K$7:$K$282,$B$4)</f>
        <v>4305000</v>
      </c>
    </row>
    <row r="22" spans="1:6" ht="13.9">
      <c r="A22" s="12" t="s">
        <v>18</v>
      </c>
      <c r="B22" s="16">
        <f>B19-B21</f>
        <v>-3997323</v>
      </c>
    </row>
    <row r="23" spans="1:6">
      <c r="A23" s="2" t="s">
        <v>19</v>
      </c>
    </row>
    <row r="25" spans="1:6" ht="13.9">
      <c r="A25" s="4" t="s">
        <v>20</v>
      </c>
      <c r="B25" s="3"/>
      <c r="C25" s="3"/>
      <c r="D25" s="3"/>
      <c r="E25" s="3"/>
      <c r="F25" s="3"/>
    </row>
    <row r="26" spans="1:6">
      <c r="A26" s="5" t="s">
        <v>21</v>
      </c>
      <c r="B26" s="5" t="s">
        <v>22</v>
      </c>
      <c r="C26" s="5" t="s">
        <v>23</v>
      </c>
      <c r="D26" s="5" t="s">
        <v>24</v>
      </c>
      <c r="E26" s="5" t="s">
        <v>25</v>
      </c>
      <c r="F26" s="5" t="s">
        <v>26</v>
      </c>
    </row>
    <row r="27" spans="1:6">
      <c r="A27" s="6">
        <f>계정과목!A6</f>
        <v>101</v>
      </c>
      <c r="B27" s="6" t="str">
        <f>계정과목!B6</f>
        <v>현금</v>
      </c>
      <c r="C27" s="7" t="str">
        <f>계정과목!C6</f>
        <v>자산</v>
      </c>
      <c r="D27" s="9">
        <f>SUMIFS(전표!$F$7:$F$282,전표!$E$7:$E$282,$A27,전표!$K$7:$K$282,$B$4)</f>
        <v>47600</v>
      </c>
      <c r="E27" s="9">
        <f>SUMIFS(전표!$G$7:$G$282,전표!$E$7:$E$282,$A27,전표!$K$7:$K$282,$B$4)</f>
        <v>0</v>
      </c>
      <c r="F27" s="9">
        <f t="shared" ref="F27:F59" si="0">D27-E27</f>
        <v>47600</v>
      </c>
    </row>
    <row r="28" spans="1:6">
      <c r="A28" s="6">
        <f>계정과목!A7</f>
        <v>102</v>
      </c>
      <c r="B28" s="6" t="str">
        <f>계정과목!B7</f>
        <v>보통예금</v>
      </c>
      <c r="C28" s="7" t="str">
        <f>계정과목!C7</f>
        <v>자산</v>
      </c>
      <c r="D28" s="9">
        <f>SUMIFS(전표!$F$7:$F$282,전표!$E$7:$E$282,$A28,전표!$K$7:$K$282,$B$4)</f>
        <v>43300000</v>
      </c>
      <c r="E28" s="9">
        <f>SUMIFS(전표!$G$7:$G$282,전표!$E$7:$E$282,$A28,전표!$K$7:$K$282,$B$4)</f>
        <v>15766667</v>
      </c>
      <c r="F28" s="9">
        <f t="shared" si="0"/>
        <v>27533333</v>
      </c>
    </row>
    <row r="29" spans="1:6">
      <c r="A29" s="6">
        <f>계정과목!A9</f>
        <v>104</v>
      </c>
      <c r="B29" s="6" t="str">
        <f>계정과목!B9</f>
        <v>상품권</v>
      </c>
      <c r="C29" s="7" t="str">
        <f>계정과목!C9</f>
        <v>자산</v>
      </c>
      <c r="D29" s="9">
        <f>SUMIFS(전표!$F$7:$F$282,전표!$E$7:$E$282,$A29,전표!$K$7:$K$282,$B$4)</f>
        <v>30000</v>
      </c>
      <c r="E29" s="9">
        <f>SUMIFS(전표!$G$7:$G$282,전표!$E$7:$E$282,$A29,전표!$K$7:$K$282,$B$4)</f>
        <v>0</v>
      </c>
      <c r="F29" s="9">
        <f t="shared" si="0"/>
        <v>30000</v>
      </c>
    </row>
    <row r="30" spans="1:6">
      <c r="A30" s="6">
        <f>계정과목!A10</f>
        <v>120</v>
      </c>
      <c r="B30" s="6" t="str">
        <f>계정과목!B10</f>
        <v>외상매출금</v>
      </c>
      <c r="C30" s="7" t="str">
        <f>계정과목!C10</f>
        <v>자산</v>
      </c>
      <c r="D30" s="9">
        <f>SUMIFS(전표!$F$7:$F$282,전표!$E$7:$E$282,$A30,전표!$K$7:$K$282,$B$4)</f>
        <v>0</v>
      </c>
      <c r="E30" s="9">
        <f>SUMIFS(전표!$G$7:$G$282,전표!$E$7:$E$282,$A30,전표!$K$7:$K$282,$B$4)</f>
        <v>0</v>
      </c>
      <c r="F30" s="9">
        <f t="shared" si="0"/>
        <v>0</v>
      </c>
    </row>
    <row r="31" spans="1:6">
      <c r="A31" s="6">
        <f>계정과목!A11</f>
        <v>135</v>
      </c>
      <c r="B31" s="6" t="str">
        <f>계정과목!B11</f>
        <v>부가세대급금</v>
      </c>
      <c r="C31" s="7" t="str">
        <f>계정과목!C11</f>
        <v>자산</v>
      </c>
      <c r="D31" s="9">
        <f>SUMIFS(전표!$F$7:$F$282,전표!$E$7:$E$282,$A31,전표!$K$7:$K$282,$B$4)</f>
        <v>4305000</v>
      </c>
      <c r="E31" s="9">
        <f>SUMIFS(전표!$G$7:$G$282,전표!$E$7:$E$282,$A31,전표!$K$7:$K$282,$B$4)</f>
        <v>0</v>
      </c>
      <c r="F31" s="9">
        <f t="shared" si="0"/>
        <v>4305000</v>
      </c>
    </row>
    <row r="32" spans="1:6">
      <c r="A32" s="6">
        <f>계정과목!A12</f>
        <v>141</v>
      </c>
      <c r="B32" s="6" t="str">
        <f>계정과목!B12</f>
        <v>미수금</v>
      </c>
      <c r="C32" s="7" t="str">
        <f>계정과목!C12</f>
        <v>자산</v>
      </c>
      <c r="D32" s="9">
        <f>SUMIFS(전표!$F$7:$F$282,전표!$E$7:$E$282,$A32,전표!$K$7:$K$282,$B$4)</f>
        <v>0</v>
      </c>
      <c r="E32" s="9">
        <f>SUMIFS(전표!$G$7:$G$282,전표!$E$7:$E$282,$A32,전표!$K$7:$K$282,$B$4)</f>
        <v>0</v>
      </c>
      <c r="F32" s="9">
        <f t="shared" si="0"/>
        <v>0</v>
      </c>
    </row>
    <row r="33" spans="1:6">
      <c r="A33" s="6">
        <f>계정과목!A13</f>
        <v>150</v>
      </c>
      <c r="B33" s="6" t="str">
        <f>계정과목!B13</f>
        <v>상품</v>
      </c>
      <c r="C33" s="7" t="str">
        <f>계정과목!C13</f>
        <v>자산</v>
      </c>
      <c r="D33" s="9">
        <f>SUMIFS(전표!$F$7:$F$282,전표!$E$7:$E$282,$A33,전표!$K$7:$K$282,$B$4)</f>
        <v>0</v>
      </c>
      <c r="E33" s="9">
        <f>SUMIFS(전표!$G$7:$G$282,전표!$E$7:$E$282,$A33,전표!$K$7:$K$282,$B$4)</f>
        <v>0</v>
      </c>
      <c r="F33" s="9">
        <f t="shared" si="0"/>
        <v>0</v>
      </c>
    </row>
    <row r="34" spans="1:6">
      <c r="A34" s="6">
        <f>계정과목!A14</f>
        <v>160</v>
      </c>
      <c r="B34" s="6" t="str">
        <f>계정과목!B14</f>
        <v>비품</v>
      </c>
      <c r="C34" s="7" t="str">
        <f>계정과목!C14</f>
        <v>자산</v>
      </c>
      <c r="D34" s="9">
        <f>SUMIFS(전표!$F$7:$F$282,전표!$E$7:$E$282,$A34,전표!$K$7:$K$282,$B$4)</f>
        <v>0</v>
      </c>
      <c r="E34" s="9">
        <f>SUMIFS(전표!$G$7:$G$282,전표!$E$7:$E$282,$A34,전표!$K$7:$K$282,$B$4)</f>
        <v>0</v>
      </c>
      <c r="F34" s="9">
        <f t="shared" si="0"/>
        <v>0</v>
      </c>
    </row>
    <row r="35" spans="1:6">
      <c r="A35" s="6">
        <f>계정과목!A15</f>
        <v>165</v>
      </c>
      <c r="B35" s="6" t="str">
        <f>계정과목!B15</f>
        <v>시설장치</v>
      </c>
      <c r="C35" s="7" t="str">
        <f>계정과목!C15</f>
        <v>자산</v>
      </c>
      <c r="D35" s="9">
        <f>SUMIFS(전표!$F$7:$F$282,전표!$E$7:$E$282,$A35,전표!$K$7:$K$282,$B$4)</f>
        <v>0</v>
      </c>
      <c r="E35" s="9">
        <f>SUMIFS(전표!$G$7:$G$282,전표!$E$7:$E$282,$A35,전표!$K$7:$K$282,$B$4)</f>
        <v>0</v>
      </c>
      <c r="F35" s="9">
        <f t="shared" si="0"/>
        <v>0</v>
      </c>
    </row>
    <row r="36" spans="1:6">
      <c r="A36" s="6">
        <f>계정과목!A16</f>
        <v>170</v>
      </c>
      <c r="B36" s="6" t="str">
        <f>계정과목!B16</f>
        <v>감가상각누계액</v>
      </c>
      <c r="C36" s="7" t="str">
        <f>계정과목!C16</f>
        <v>자산</v>
      </c>
      <c r="D36" s="9">
        <f>SUMIFS(전표!$F$7:$F$282,전표!$E$7:$E$282,$A36,전표!$K$7:$K$282,$B$4)</f>
        <v>0</v>
      </c>
      <c r="E36" s="9">
        <f>SUMIFS(전표!$G$7:$G$282,전표!$E$7:$E$282,$A36,전표!$K$7:$K$282,$B$4)</f>
        <v>0</v>
      </c>
      <c r="F36" s="9">
        <f t="shared" si="0"/>
        <v>0</v>
      </c>
    </row>
    <row r="37" spans="1:6">
      <c r="A37" s="6">
        <f>계정과목!A17</f>
        <v>180</v>
      </c>
      <c r="B37" s="6" t="str">
        <f>계정과목!B17</f>
        <v>임차보증금</v>
      </c>
      <c r="C37" s="7" t="str">
        <f>계정과목!C17</f>
        <v>자산</v>
      </c>
      <c r="D37" s="9">
        <f>SUMIFS(전표!$F$7:$F$282,전표!$E$7:$E$282,$A37,전표!$K$7:$K$282,$B$4)</f>
        <v>0</v>
      </c>
      <c r="E37" s="9">
        <f>SUMIFS(전표!$G$7:$G$282,전표!$E$7:$E$282,$A37,전표!$K$7:$K$282,$B$4)</f>
        <v>0</v>
      </c>
      <c r="F37" s="9">
        <f t="shared" si="0"/>
        <v>0</v>
      </c>
    </row>
    <row r="38" spans="1:6">
      <c r="A38" s="6">
        <f>계정과목!A18</f>
        <v>190</v>
      </c>
      <c r="B38" s="6" t="str">
        <f>계정과목!B18</f>
        <v>선급비용</v>
      </c>
      <c r="C38" s="7" t="str">
        <f>계정과목!C18</f>
        <v>자산</v>
      </c>
      <c r="D38" s="9">
        <f>SUMIFS(전표!$F$7:$F$282,전표!$E$7:$E$282,$A38,전표!$K$7:$K$282,$B$4)</f>
        <v>0</v>
      </c>
      <c r="E38" s="9">
        <f>SUMIFS(전표!$G$7:$G$282,전표!$E$7:$E$282,$A38,전표!$K$7:$K$282,$B$4)</f>
        <v>0</v>
      </c>
      <c r="F38" s="9">
        <f t="shared" si="0"/>
        <v>0</v>
      </c>
    </row>
    <row r="39" spans="1:6">
      <c r="A39" s="6">
        <f>계정과목!A19</f>
        <v>201</v>
      </c>
      <c r="B39" s="6" t="str">
        <f>계정과목!B19</f>
        <v>외상매입금</v>
      </c>
      <c r="C39" s="7" t="str">
        <f>계정과목!C19</f>
        <v>부채</v>
      </c>
      <c r="D39" s="9">
        <f>SUMIFS(전표!$F$7:$F$282,전표!$E$7:$E$282,$A39,전표!$K$7:$K$282,$B$4)</f>
        <v>0</v>
      </c>
      <c r="E39" s="9">
        <f>SUMIFS(전표!$G$7:$G$282,전표!$E$7:$E$282,$A39,전표!$K$7:$K$282,$B$4)</f>
        <v>0</v>
      </c>
      <c r="F39" s="9">
        <f t="shared" si="0"/>
        <v>0</v>
      </c>
    </row>
    <row r="40" spans="1:6">
      <c r="A40" s="6">
        <f>계정과목!A20</f>
        <v>202</v>
      </c>
      <c r="B40" s="6" t="str">
        <f>계정과목!B20</f>
        <v>미지급금</v>
      </c>
      <c r="C40" s="7" t="str">
        <f>계정과목!C20</f>
        <v>부채</v>
      </c>
      <c r="D40" s="9">
        <f>SUMIFS(전표!$F$7:$F$282,전표!$E$7:$E$282,$A40,전표!$K$7:$K$282,$B$4)</f>
        <v>15766667</v>
      </c>
      <c r="E40" s="9">
        <f>SUMIFS(전표!$G$7:$G$282,전표!$E$7:$E$282,$A40,전표!$K$7:$K$282,$B$4)</f>
        <v>47355000</v>
      </c>
      <c r="F40" s="9">
        <f t="shared" si="0"/>
        <v>-31588333</v>
      </c>
    </row>
    <row r="41" spans="1:6">
      <c r="A41" s="6">
        <f>계정과목!A21</f>
        <v>203</v>
      </c>
      <c r="B41" s="6" t="str">
        <f>계정과목!B21</f>
        <v>미지급비용</v>
      </c>
      <c r="C41" s="7" t="str">
        <f>계정과목!C21</f>
        <v>부채</v>
      </c>
      <c r="D41" s="9">
        <f>SUMIFS(전표!$F$7:$F$282,전표!$E$7:$E$282,$A41,전표!$K$7:$K$282,$B$4)</f>
        <v>0</v>
      </c>
      <c r="E41" s="9">
        <f>SUMIFS(전표!$G$7:$G$282,전표!$E$7:$E$282,$A41,전표!$K$7:$K$282,$B$4)</f>
        <v>0</v>
      </c>
      <c r="F41" s="9">
        <f t="shared" si="0"/>
        <v>0</v>
      </c>
    </row>
    <row r="42" spans="1:6">
      <c r="A42" s="6">
        <f>계정과목!A22</f>
        <v>210</v>
      </c>
      <c r="B42" s="6" t="str">
        <f>계정과목!B22</f>
        <v>예수금(4대보험·원천세)</v>
      </c>
      <c r="C42" s="7" t="str">
        <f>계정과목!C22</f>
        <v>부채</v>
      </c>
      <c r="D42" s="9">
        <f>SUMIFS(전표!$F$7:$F$282,전표!$E$7:$E$282,$A42,전표!$K$7:$K$282,$B$4)</f>
        <v>0</v>
      </c>
      <c r="E42" s="9">
        <f>SUMIFS(전표!$G$7:$G$282,전표!$E$7:$E$282,$A42,전표!$K$7:$K$282,$B$4)</f>
        <v>0</v>
      </c>
      <c r="F42" s="9">
        <f t="shared" si="0"/>
        <v>0</v>
      </c>
    </row>
    <row r="43" spans="1:6">
      <c r="A43" s="6">
        <f>계정과목!A23</f>
        <v>220</v>
      </c>
      <c r="B43" s="6" t="str">
        <f>계정과목!B23</f>
        <v>부가세예수금</v>
      </c>
      <c r="C43" s="7" t="str">
        <f>계정과목!C23</f>
        <v>부채</v>
      </c>
      <c r="D43" s="9">
        <f>SUMIFS(전표!$F$7:$F$282,전표!$E$7:$E$282,$A43,전표!$K$7:$K$282,$B$4)</f>
        <v>0</v>
      </c>
      <c r="E43" s="9">
        <f>SUMIFS(전표!$G$7:$G$282,전표!$E$7:$E$282,$A43,전표!$K$7:$K$282,$B$4)</f>
        <v>315550</v>
      </c>
      <c r="F43" s="9">
        <f t="shared" si="0"/>
        <v>-315550</v>
      </c>
    </row>
    <row r="44" spans="1:6">
      <c r="A44" s="6">
        <f>계정과목!A24</f>
        <v>230</v>
      </c>
      <c r="B44" s="6" t="str">
        <f>계정과목!B24</f>
        <v>선수금</v>
      </c>
      <c r="C44" s="7" t="str">
        <f>계정과목!C24</f>
        <v>부채</v>
      </c>
      <c r="D44" s="9">
        <f>SUMIFS(전표!$F$7:$F$282,전표!$E$7:$E$282,$A44,전표!$K$7:$K$282,$B$4)</f>
        <v>0</v>
      </c>
      <c r="E44" s="9">
        <f>SUMIFS(전표!$G$7:$G$282,전표!$E$7:$E$282,$A44,전표!$K$7:$K$282,$B$4)</f>
        <v>0</v>
      </c>
      <c r="F44" s="9">
        <f t="shared" si="0"/>
        <v>0</v>
      </c>
    </row>
    <row r="45" spans="1:6">
      <c r="A45" s="6">
        <f>계정과목!A25</f>
        <v>240</v>
      </c>
      <c r="B45" s="6" t="str">
        <f>계정과목!B25</f>
        <v>단기차입금</v>
      </c>
      <c r="C45" s="7" t="str">
        <f>계정과목!C25</f>
        <v>부채</v>
      </c>
      <c r="D45" s="9">
        <f>SUMIFS(전표!$F$7:$F$282,전표!$E$7:$E$282,$A45,전표!$K$7:$K$282,$B$4)</f>
        <v>0</v>
      </c>
      <c r="E45" s="9">
        <f>SUMIFS(전표!$G$7:$G$282,전표!$E$7:$E$282,$A45,전표!$K$7:$K$282,$B$4)</f>
        <v>0</v>
      </c>
      <c r="F45" s="9">
        <f t="shared" si="0"/>
        <v>0</v>
      </c>
    </row>
    <row r="46" spans="1:6">
      <c r="A46" s="6">
        <f>계정과목!A26</f>
        <v>241</v>
      </c>
      <c r="B46" s="6" t="str">
        <f>계정과목!B26</f>
        <v>장기차입금</v>
      </c>
      <c r="C46" s="7" t="str">
        <f>계정과목!C26</f>
        <v>부채</v>
      </c>
      <c r="D46" s="9">
        <f>SUMIFS(전표!$F$7:$F$282,전표!$E$7:$E$282,$A46,전표!$K$7:$K$282,$B$4)</f>
        <v>0</v>
      </c>
      <c r="E46" s="9">
        <f>SUMIFS(전표!$G$7:$G$282,전표!$E$7:$E$282,$A46,전표!$K$7:$K$282,$B$4)</f>
        <v>30000000</v>
      </c>
      <c r="F46" s="9">
        <f>D46-E46</f>
        <v>-30000000</v>
      </c>
    </row>
    <row r="47" spans="1:6">
      <c r="A47" s="6">
        <f>계정과목!A27</f>
        <v>250</v>
      </c>
      <c r="B47" s="6" t="str">
        <f>계정과목!B27</f>
        <v>퇴직급여충당부채</v>
      </c>
      <c r="C47" s="7" t="str">
        <f>계정과목!C27</f>
        <v>부채</v>
      </c>
      <c r="D47" s="9">
        <f>SUMIFS(전표!$F$7:$F$282,전표!$E$7:$E$282,$A47,전표!$K$7:$K$282,$B$4)</f>
        <v>0</v>
      </c>
      <c r="E47" s="9">
        <f>SUMIFS(전표!$G$7:$G$282,전표!$E$7:$E$282,$A47,전표!$K$7:$K$282,$B$4)</f>
        <v>0</v>
      </c>
      <c r="F47" s="9">
        <f t="shared" si="0"/>
        <v>0</v>
      </c>
    </row>
    <row r="48" spans="1:6">
      <c r="A48" s="6">
        <f>계정과목!A28</f>
        <v>301</v>
      </c>
      <c r="B48" s="6" t="str">
        <f>계정과목!B28</f>
        <v>자본금</v>
      </c>
      <c r="C48" s="7" t="str">
        <f>계정과목!C28</f>
        <v>자본</v>
      </c>
      <c r="D48" s="9">
        <f>SUMIFS(전표!$F$7:$F$282,전표!$E$7:$E$282,$A48,전표!$K$7:$K$282,$B$4)</f>
        <v>0</v>
      </c>
      <c r="E48" s="9">
        <f>SUMIFS(전표!$G$7:$G$282,전표!$E$7:$E$282,$A48,전표!$K$7:$K$282,$B$4)</f>
        <v>10000000</v>
      </c>
      <c r="F48" s="9">
        <f t="shared" si="0"/>
        <v>-10000000</v>
      </c>
    </row>
    <row r="49" spans="1:6">
      <c r="A49" s="6">
        <f>계정과목!A29</f>
        <v>302</v>
      </c>
      <c r="B49" s="6" t="str">
        <f>계정과목!B29</f>
        <v>인출금</v>
      </c>
      <c r="C49" s="7" t="str">
        <f>계정과목!C29</f>
        <v>자본</v>
      </c>
      <c r="D49" s="9">
        <f>SUMIFS(전표!$F$7:$F$282,전표!$E$7:$E$282,$A49,전표!$K$7:$K$282,$B$4)</f>
        <v>0</v>
      </c>
      <c r="E49" s="9">
        <f>SUMIFS(전표!$G$7:$G$282,전표!$E$7:$E$282,$A49,전표!$K$7:$K$282,$B$4)</f>
        <v>0</v>
      </c>
      <c r="F49" s="9">
        <f t="shared" si="0"/>
        <v>0</v>
      </c>
    </row>
    <row r="50" spans="1:6">
      <c r="A50" s="6">
        <f>계정과목!A30</f>
        <v>310</v>
      </c>
      <c r="B50" s="6" t="str">
        <f>계정과목!B30</f>
        <v>이월결손금</v>
      </c>
      <c r="C50" s="7" t="str">
        <f>계정과목!C30</f>
        <v>자본</v>
      </c>
      <c r="D50" s="9">
        <f>SUMIFS(전표!$F$7:$F$282,전표!$E$7:$E$282,$A50,전표!$K$7:$K$282,$B$4)</f>
        <v>0</v>
      </c>
      <c r="E50" s="9">
        <f>SUMIFS(전표!$G$7:$G$282,전표!$E$7:$E$282,$A50,전표!$K$7:$K$282,$B$4)</f>
        <v>0</v>
      </c>
      <c r="F50" s="9">
        <f t="shared" si="0"/>
        <v>0</v>
      </c>
    </row>
    <row r="51" spans="1:6">
      <c r="A51" s="6">
        <f>계정과목!A31</f>
        <v>320</v>
      </c>
      <c r="B51" s="6" t="str">
        <f>계정과목!B31</f>
        <v>당기순손익</v>
      </c>
      <c r="C51" s="7" t="str">
        <f>계정과목!C31</f>
        <v>자본</v>
      </c>
      <c r="D51" s="9">
        <f>SUMIFS(전표!$F$7:$F$282,전표!$E$7:$E$282,$A51,전표!$K$7:$K$282,$B$4)</f>
        <v>0</v>
      </c>
      <c r="E51" s="9">
        <f>SUMIFS(전표!$G$7:$G$282,전표!$E$7:$E$282,$A51,전표!$K$7:$K$282,$B$4)</f>
        <v>0</v>
      </c>
      <c r="F51" s="9">
        <f t="shared" si="0"/>
        <v>0</v>
      </c>
    </row>
    <row r="52" spans="1:6">
      <c r="A52" s="6">
        <f>계정과목!A32</f>
        <v>401</v>
      </c>
      <c r="B52" s="6" t="str">
        <f>계정과목!B32</f>
        <v>체험·입장료수입</v>
      </c>
      <c r="C52" s="7" t="str">
        <f>계정과목!C32</f>
        <v>수익</v>
      </c>
      <c r="D52" s="9">
        <f>SUMIFS(전표!$F$7:$F$282,전표!$E$7:$E$282,$A52,전표!$K$7:$K$282,$B$4)</f>
        <v>0</v>
      </c>
      <c r="E52" s="9">
        <f>SUMIFS(전표!$G$7:$G$282,전표!$E$7:$E$282,$A52,전표!$K$7:$K$282,$B$4)</f>
        <v>3126909</v>
      </c>
      <c r="F52" s="9">
        <f t="shared" si="0"/>
        <v>-3126909</v>
      </c>
    </row>
    <row r="53" spans="1:6">
      <c r="A53" s="6">
        <f>계정과목!A33</f>
        <v>402</v>
      </c>
      <c r="B53" s="6" t="str">
        <f>계정과목!B33</f>
        <v>프로그램·교육수입</v>
      </c>
      <c r="C53" s="7" t="str">
        <f>계정과목!C33</f>
        <v>수익</v>
      </c>
      <c r="D53" s="9">
        <f>SUMIFS(전표!$F$7:$F$282,전표!$E$7:$E$282,$A53,전표!$K$7:$K$282,$B$4)</f>
        <v>0</v>
      </c>
      <c r="E53" s="9">
        <f>SUMIFS(전표!$G$7:$G$282,전표!$E$7:$E$282,$A53,전표!$K$7:$K$282,$B$4)</f>
        <v>0</v>
      </c>
      <c r="F53" s="9">
        <f t="shared" si="0"/>
        <v>0</v>
      </c>
    </row>
    <row r="54" spans="1:6">
      <c r="A54" s="6">
        <f>계정과목!A34</f>
        <v>403</v>
      </c>
      <c r="B54" s="6" t="str">
        <f>계정과목!B34</f>
        <v>매점매출</v>
      </c>
      <c r="C54" s="7" t="str">
        <f>계정과목!C34</f>
        <v>수익</v>
      </c>
      <c r="D54" s="9">
        <f>SUMIFS(전표!$F$7:$F$282,전표!$E$7:$E$282,$A54,전표!$K$7:$K$282,$B$4)</f>
        <v>0</v>
      </c>
      <c r="E54" s="9">
        <f>SUMIFS(전표!$G$7:$G$282,전표!$E$7:$E$282,$A54,전표!$K$7:$K$282,$B$4)</f>
        <v>28591</v>
      </c>
      <c r="F54" s="9">
        <f t="shared" si="0"/>
        <v>-28591</v>
      </c>
    </row>
    <row r="55" spans="1:6">
      <c r="A55" s="6">
        <f>계정과목!A35</f>
        <v>404</v>
      </c>
      <c r="B55" s="6" t="str">
        <f>계정과목!B35</f>
        <v>임대수입</v>
      </c>
      <c r="C55" s="7" t="str">
        <f>계정과목!C35</f>
        <v>수익</v>
      </c>
      <c r="D55" s="9">
        <f>SUMIFS(전표!$F$7:$F$282,전표!$E$7:$E$282,$A55,전표!$K$7:$K$282,$B$4)</f>
        <v>0</v>
      </c>
      <c r="E55" s="9">
        <f>SUMIFS(전표!$G$7:$G$282,전표!$E$7:$E$282,$A55,전표!$K$7:$K$282,$B$4)</f>
        <v>0</v>
      </c>
      <c r="F55" s="9">
        <f t="shared" si="0"/>
        <v>0</v>
      </c>
    </row>
    <row r="56" spans="1:6">
      <c r="A56" s="6">
        <f>계정과목!A36</f>
        <v>405</v>
      </c>
      <c r="B56" s="6" t="str">
        <f>계정과목!B36</f>
        <v>이자수입</v>
      </c>
      <c r="C56" s="7" t="str">
        <f>계정과목!C36</f>
        <v>수익</v>
      </c>
      <c r="D56" s="9">
        <f>SUMIFS(전표!$F$7:$F$282,전표!$E$7:$E$282,$A56,전표!$K$7:$K$282,$B$4)</f>
        <v>0</v>
      </c>
      <c r="E56" s="9">
        <f>SUMIFS(전표!$G$7:$G$282,전표!$E$7:$E$282,$A56,전표!$K$7:$K$282,$B$4)</f>
        <v>0</v>
      </c>
      <c r="F56" s="9">
        <f t="shared" si="0"/>
        <v>0</v>
      </c>
    </row>
    <row r="57" spans="1:6">
      <c r="A57" s="6">
        <f>계정과목!A37</f>
        <v>410</v>
      </c>
      <c r="B57" s="6" t="str">
        <f>계정과목!B37</f>
        <v>잡이익</v>
      </c>
      <c r="C57" s="7" t="str">
        <f>계정과목!C37</f>
        <v>수익</v>
      </c>
      <c r="D57" s="9">
        <f>SUMIFS(전표!$F$7:$F$282,전표!$E$7:$E$282,$A57,전표!$K$7:$K$282,$B$4)</f>
        <v>0</v>
      </c>
      <c r="E57" s="9">
        <f>SUMIFS(전표!$G$7:$G$282,전표!$E$7:$E$282,$A57,전표!$K$7:$K$282,$B$4)</f>
        <v>0</v>
      </c>
      <c r="F57" s="9">
        <f t="shared" si="0"/>
        <v>0</v>
      </c>
    </row>
    <row r="58" spans="1:6">
      <c r="A58" s="6">
        <f>계정과목!A38</f>
        <v>501</v>
      </c>
      <c r="B58" s="6" t="str">
        <f>계정과목!B38</f>
        <v>급여</v>
      </c>
      <c r="C58" s="7" t="str">
        <f>계정과목!C38</f>
        <v>비용</v>
      </c>
      <c r="D58" s="9">
        <f>SUMIFS(전표!$F$7:$F$282,전표!$E$7:$E$282,$A58,전표!$K$7:$K$282,$B$4)</f>
        <v>0</v>
      </c>
      <c r="E58" s="9">
        <f>SUMIFS(전표!$G$7:$G$282,전표!$E$7:$E$282,$A58,전표!$K$7:$K$282,$B$4)</f>
        <v>0</v>
      </c>
      <c r="F58" s="9">
        <f t="shared" si="0"/>
        <v>0</v>
      </c>
    </row>
    <row r="59" spans="1:6">
      <c r="A59" s="6">
        <f>계정과목!A39</f>
        <v>502</v>
      </c>
      <c r="B59" s="6" t="str">
        <f>계정과목!B39</f>
        <v>상여금</v>
      </c>
      <c r="C59" s="7" t="str">
        <f>계정과목!C39</f>
        <v>비용</v>
      </c>
      <c r="D59" s="9">
        <f>SUMIFS(전표!$F$7:$F$282,전표!$E$7:$E$282,$A59,전표!$K$7:$K$282,$B$4)</f>
        <v>0</v>
      </c>
      <c r="E59" s="9">
        <f>SUMIFS(전표!$G$7:$G$282,전표!$E$7:$E$282,$A59,전표!$K$7:$K$282,$B$4)</f>
        <v>0</v>
      </c>
      <c r="F59" s="9">
        <f t="shared" si="0"/>
        <v>0</v>
      </c>
    </row>
    <row r="60" spans="1:6">
      <c r="A60" s="6">
        <f>계정과목!A40</f>
        <v>503</v>
      </c>
      <c r="B60" s="6" t="str">
        <f>계정과목!B40</f>
        <v>퇴직급여</v>
      </c>
      <c r="C60" s="7" t="str">
        <f>계정과목!C40</f>
        <v>비용</v>
      </c>
      <c r="D60" s="9">
        <f>SUMIFS(전표!$F$7:$F$282,전표!$E$7:$E$282,$A60,전표!$K$7:$K$282,$B$4)</f>
        <v>0</v>
      </c>
      <c r="E60" s="9">
        <f>SUMIFS(전표!$G$7:$G$282,전표!$E$7:$E$282,$A60,전표!$K$7:$K$282,$B$4)</f>
        <v>0</v>
      </c>
      <c r="F60" s="9">
        <f t="shared" ref="F60:F78" si="1">D60-E60</f>
        <v>0</v>
      </c>
    </row>
    <row r="61" spans="1:6">
      <c r="A61" s="6">
        <f>계정과목!A41</f>
        <v>504</v>
      </c>
      <c r="B61" s="6" t="str">
        <f>계정과목!B41</f>
        <v>4대보험료(사업주부담)</v>
      </c>
      <c r="C61" s="7" t="str">
        <f>계정과목!C41</f>
        <v>비용</v>
      </c>
      <c r="D61" s="9">
        <f>SUMIFS(전표!$F$7:$F$282,전표!$E$7:$E$282,$A61,전표!$K$7:$K$282,$B$4)</f>
        <v>0</v>
      </c>
      <c r="E61" s="9">
        <f>SUMIFS(전표!$G$7:$G$282,전표!$E$7:$E$282,$A61,전표!$K$7:$K$282,$B$4)</f>
        <v>0</v>
      </c>
      <c r="F61" s="9">
        <f t="shared" si="1"/>
        <v>0</v>
      </c>
    </row>
    <row r="62" spans="1:6">
      <c r="A62" s="6">
        <f>계정과목!A42</f>
        <v>510</v>
      </c>
      <c r="B62" s="6" t="str">
        <f>계정과목!B42</f>
        <v>임차료</v>
      </c>
      <c r="C62" s="7" t="str">
        <f>계정과목!C42</f>
        <v>비용</v>
      </c>
      <c r="D62" s="9">
        <f>SUMIFS(전표!$F$7:$F$282,전표!$E$7:$E$282,$A62,전표!$K$7:$K$282,$B$4)</f>
        <v>43000000</v>
      </c>
      <c r="E62" s="9">
        <f>SUMIFS(전표!$G$7:$G$282,전표!$E$7:$E$282,$A62,전표!$K$7:$K$282,$B$4)</f>
        <v>0</v>
      </c>
      <c r="F62" s="9">
        <f t="shared" si="1"/>
        <v>43000000</v>
      </c>
    </row>
    <row r="63" spans="1:6">
      <c r="A63" s="6">
        <f>계정과목!A43</f>
        <v>511</v>
      </c>
      <c r="B63" s="6" t="str">
        <f>계정과목!B43</f>
        <v>수도광열비</v>
      </c>
      <c r="C63" s="7" t="str">
        <f>계정과목!C43</f>
        <v>비용</v>
      </c>
      <c r="D63" s="9">
        <f>SUMIFS(전표!$F$7:$F$282,전표!$E$7:$E$282,$A63,전표!$K$7:$K$282,$B$4)</f>
        <v>0</v>
      </c>
      <c r="E63" s="9">
        <f>SUMIFS(전표!$G$7:$G$282,전표!$E$7:$E$282,$A63,전표!$K$7:$K$282,$B$4)</f>
        <v>0</v>
      </c>
      <c r="F63" s="9">
        <f t="shared" si="1"/>
        <v>0</v>
      </c>
    </row>
    <row r="64" spans="1:6">
      <c r="A64" s="6">
        <f>계정과목!A44</f>
        <v>512</v>
      </c>
      <c r="B64" s="6" t="str">
        <f>계정과목!B44</f>
        <v>통신비</v>
      </c>
      <c r="C64" s="7" t="str">
        <f>계정과목!C44</f>
        <v>비용</v>
      </c>
      <c r="D64" s="9">
        <f>SUMIFS(전표!$F$7:$F$282,전표!$E$7:$E$282,$A64,전표!$K$7:$K$282,$B$4)</f>
        <v>0</v>
      </c>
      <c r="E64" s="9">
        <f>SUMIFS(전표!$G$7:$G$282,전표!$E$7:$E$282,$A64,전표!$K$7:$K$282,$B$4)</f>
        <v>0</v>
      </c>
      <c r="F64" s="9">
        <f t="shared" si="1"/>
        <v>0</v>
      </c>
    </row>
    <row r="65" spans="1:6">
      <c r="A65" s="6">
        <f>계정과목!A45</f>
        <v>513</v>
      </c>
      <c r="B65" s="6" t="str">
        <f>계정과목!B45</f>
        <v>보험료</v>
      </c>
      <c r="C65" s="7" t="str">
        <f>계정과목!C45</f>
        <v>비용</v>
      </c>
      <c r="D65" s="9">
        <f>SUMIFS(전표!$F$7:$F$282,전표!$E$7:$E$282,$A65,전표!$K$7:$K$282,$B$4)</f>
        <v>0</v>
      </c>
      <c r="E65" s="9">
        <f>SUMIFS(전표!$G$7:$G$282,전표!$E$7:$E$282,$A65,전표!$K$7:$K$282,$B$4)</f>
        <v>0</v>
      </c>
      <c r="F65" s="9">
        <f t="shared" si="1"/>
        <v>0</v>
      </c>
    </row>
    <row r="66" spans="1:6">
      <c r="A66" s="6">
        <f>계정과목!A46</f>
        <v>514</v>
      </c>
      <c r="B66" s="6" t="str">
        <f>계정과목!B46</f>
        <v>세금과공과</v>
      </c>
      <c r="C66" s="7" t="str">
        <f>계정과목!C46</f>
        <v>비용</v>
      </c>
      <c r="D66" s="9">
        <f>SUMIFS(전표!$F$7:$F$282,전표!$E$7:$E$282,$A66,전표!$K$7:$K$282,$B$4)</f>
        <v>0</v>
      </c>
      <c r="E66" s="9">
        <f>SUMIFS(전표!$G$7:$G$282,전표!$E$7:$E$282,$A66,전표!$K$7:$K$282,$B$4)</f>
        <v>0</v>
      </c>
      <c r="F66" s="9">
        <f t="shared" si="1"/>
        <v>0</v>
      </c>
    </row>
    <row r="67" spans="1:6">
      <c r="A67" s="6">
        <f>계정과목!A47</f>
        <v>515</v>
      </c>
      <c r="B67" s="6" t="str">
        <f>계정과목!B47</f>
        <v>지급수수료(결제·카드)</v>
      </c>
      <c r="C67" s="7" t="str">
        <f>계정과목!C47</f>
        <v>비용</v>
      </c>
      <c r="D67" s="9">
        <f>SUMIFS(전표!$F$7:$F$282,전표!$E$7:$E$282,$A67,전표!$K$7:$K$282,$B$4)</f>
        <v>0</v>
      </c>
      <c r="E67" s="9">
        <f>SUMIFS(전표!$G$7:$G$282,전표!$E$7:$E$282,$A67,전표!$K$7:$K$282,$B$4)</f>
        <v>0</v>
      </c>
      <c r="F67" s="9">
        <f t="shared" si="1"/>
        <v>0</v>
      </c>
    </row>
    <row r="68" spans="1:6">
      <c r="A68" s="6">
        <f>계정과목!A48</f>
        <v>516</v>
      </c>
      <c r="B68" s="6" t="str">
        <f>계정과목!B48</f>
        <v>소모품비</v>
      </c>
      <c r="C68" s="7" t="str">
        <f>계정과목!C48</f>
        <v>비용</v>
      </c>
      <c r="D68" s="9">
        <f>SUMIFS(전표!$F$7:$F$282,전표!$E$7:$E$282,$A68,전표!$K$7:$K$282,$B$4)</f>
        <v>50000</v>
      </c>
      <c r="E68" s="9">
        <f>SUMIFS(전표!$G$7:$G$282,전표!$E$7:$E$282,$A68,전표!$K$7:$K$282,$B$4)</f>
        <v>0</v>
      </c>
      <c r="F68" s="9">
        <f t="shared" si="1"/>
        <v>50000</v>
      </c>
    </row>
    <row r="69" spans="1:6">
      <c r="A69" s="6">
        <f>계정과목!A49</f>
        <v>517</v>
      </c>
      <c r="B69" s="6" t="str">
        <f>계정과목!B49</f>
        <v>여비교통비</v>
      </c>
      <c r="C69" s="7" t="str">
        <f>계정과목!C49</f>
        <v>비용</v>
      </c>
      <c r="D69" s="9">
        <f>SUMIFS(전표!$F$7:$F$282,전표!$E$7:$E$282,$A69,전표!$K$7:$K$282,$B$4)</f>
        <v>0</v>
      </c>
      <c r="E69" s="9">
        <f>SUMIFS(전표!$G$7:$G$282,전표!$E$7:$E$282,$A69,전표!$K$7:$K$282,$B$4)</f>
        <v>0</v>
      </c>
      <c r="F69" s="9">
        <f t="shared" si="1"/>
        <v>0</v>
      </c>
    </row>
    <row r="70" spans="1:6">
      <c r="A70" s="6">
        <f>계정과목!A50</f>
        <v>518</v>
      </c>
      <c r="B70" s="6" t="str">
        <f>계정과목!B50</f>
        <v>차량유지비</v>
      </c>
      <c r="C70" s="7" t="str">
        <f>계정과목!C50</f>
        <v>비용</v>
      </c>
      <c r="D70" s="9">
        <f>SUMIFS(전표!$F$7:$F$282,전표!$E$7:$E$282,$A70,전표!$K$7:$K$282,$B$4)</f>
        <v>0</v>
      </c>
      <c r="E70" s="9">
        <f>SUMIFS(전표!$G$7:$G$282,전표!$E$7:$E$282,$A70,전표!$K$7:$K$282,$B$4)</f>
        <v>0</v>
      </c>
      <c r="F70" s="9">
        <f t="shared" si="1"/>
        <v>0</v>
      </c>
    </row>
    <row r="71" spans="1:6">
      <c r="A71" s="6">
        <f>계정과목!A51</f>
        <v>519</v>
      </c>
      <c r="B71" s="6" t="str">
        <f>계정과목!B51</f>
        <v>광고선전비</v>
      </c>
      <c r="C71" s="7" t="str">
        <f>계정과목!C51</f>
        <v>비용</v>
      </c>
      <c r="D71" s="9">
        <f>SUMIFS(전표!$F$7:$F$282,전표!$E$7:$E$282,$A71,전표!$K$7:$K$282,$B$4)</f>
        <v>0</v>
      </c>
      <c r="E71" s="9">
        <f>SUMIFS(전표!$G$7:$G$282,전표!$E$7:$E$282,$A71,전표!$K$7:$K$282,$B$4)</f>
        <v>0</v>
      </c>
      <c r="F71" s="9">
        <f t="shared" si="1"/>
        <v>0</v>
      </c>
    </row>
    <row r="72" spans="1:6">
      <c r="A72" s="6">
        <f>계정과목!A52</f>
        <v>520</v>
      </c>
      <c r="B72" s="6" t="str">
        <f>계정과목!B52</f>
        <v>접대비</v>
      </c>
      <c r="C72" s="7" t="str">
        <f>계정과목!C52</f>
        <v>비용</v>
      </c>
      <c r="D72" s="9">
        <f>SUMIFS(전표!$F$7:$F$282,전표!$E$7:$E$282,$A72,전표!$K$7:$K$282,$B$4)</f>
        <v>0</v>
      </c>
      <c r="E72" s="9">
        <f>SUMIFS(전표!$G$7:$G$282,전표!$E$7:$E$282,$A72,전표!$K$7:$K$282,$B$4)</f>
        <v>0</v>
      </c>
      <c r="F72" s="9">
        <f t="shared" si="1"/>
        <v>0</v>
      </c>
    </row>
    <row r="73" spans="1:6">
      <c r="A73" s="6">
        <f>계정과목!A53</f>
        <v>521</v>
      </c>
      <c r="B73" s="6" t="str">
        <f>계정과목!B53</f>
        <v>교육훈련비</v>
      </c>
      <c r="C73" s="7" t="str">
        <f>계정과목!C53</f>
        <v>비용</v>
      </c>
      <c r="D73" s="9">
        <f>SUMIFS(전표!$F$7:$F$282,전표!$E$7:$E$282,$A73,전표!$K$7:$K$282,$B$4)</f>
        <v>0</v>
      </c>
      <c r="E73" s="9">
        <f>SUMIFS(전표!$G$7:$G$282,전표!$E$7:$E$282,$A73,전표!$K$7:$K$282,$B$4)</f>
        <v>0</v>
      </c>
      <c r="F73" s="9">
        <f t="shared" si="1"/>
        <v>0</v>
      </c>
    </row>
    <row r="74" spans="1:6">
      <c r="A74" s="6">
        <f>계정과목!A54</f>
        <v>522</v>
      </c>
      <c r="B74" s="6" t="str">
        <f>계정과목!B54</f>
        <v>수선비</v>
      </c>
      <c r="C74" s="7" t="str">
        <f>계정과목!C54</f>
        <v>비용</v>
      </c>
      <c r="D74" s="9">
        <f>SUMIFS(전표!$F$7:$F$282,전표!$E$7:$E$282,$A74,전표!$K$7:$K$282,$B$4)</f>
        <v>0</v>
      </c>
      <c r="E74" s="9">
        <f>SUMIFS(전표!$G$7:$G$282,전표!$E$7:$E$282,$A74,전표!$K$7:$K$282,$B$4)</f>
        <v>0</v>
      </c>
      <c r="F74" s="9">
        <f t="shared" si="1"/>
        <v>0</v>
      </c>
    </row>
    <row r="75" spans="1:6">
      <c r="A75" s="6">
        <f>계정과목!A55</f>
        <v>523</v>
      </c>
      <c r="B75" s="6" t="str">
        <f>계정과목!B55</f>
        <v>외주용역비</v>
      </c>
      <c r="C75" s="7" t="str">
        <f>계정과목!C55</f>
        <v>비용</v>
      </c>
      <c r="D75" s="9">
        <f>SUMIFS(전표!$F$7:$F$282,전표!$E$7:$E$282,$A75,전표!$K$7:$K$282,$B$4)</f>
        <v>0</v>
      </c>
      <c r="E75" s="9">
        <f>SUMIFS(전표!$G$7:$G$282,전표!$E$7:$E$282,$A75,전표!$K$7:$K$282,$B$4)</f>
        <v>0</v>
      </c>
      <c r="F75" s="9">
        <f t="shared" si="1"/>
        <v>0</v>
      </c>
    </row>
    <row r="76" spans="1:6">
      <c r="A76" s="6">
        <f>계정과목!A56</f>
        <v>524</v>
      </c>
      <c r="B76" s="6" t="str">
        <f>계정과목!B56</f>
        <v>감가상각비</v>
      </c>
      <c r="C76" s="7" t="str">
        <f>계정과목!C56</f>
        <v>비용</v>
      </c>
      <c r="D76" s="9">
        <f>SUMIFS(전표!$F$7:$F$282,전표!$E$7:$E$282,$A76,전표!$K$7:$K$282,$B$4)</f>
        <v>0</v>
      </c>
      <c r="E76" s="9">
        <f>SUMIFS(전표!$G$7:$G$282,전표!$E$7:$E$282,$A76,전표!$K$7:$K$282,$B$4)</f>
        <v>0</v>
      </c>
      <c r="F76" s="9">
        <f t="shared" si="1"/>
        <v>0</v>
      </c>
    </row>
    <row r="77" spans="1:6">
      <c r="A77" s="6">
        <f>계정과목!A57</f>
        <v>530</v>
      </c>
      <c r="B77" s="6" t="str">
        <f>계정과목!B57</f>
        <v>잡비</v>
      </c>
      <c r="C77" s="7" t="str">
        <f>계정과목!C57</f>
        <v>비용</v>
      </c>
      <c r="D77" s="9">
        <f>SUMIFS(전표!$F$7:$F$282,전표!$E$7:$E$282,$A77,전표!$K$7:$K$282,$B$4)</f>
        <v>0</v>
      </c>
      <c r="E77" s="9">
        <f>SUMIFS(전표!$G$7:$G$282,전표!$E$7:$E$282,$A77,전표!$K$7:$K$282,$B$4)</f>
        <v>0</v>
      </c>
      <c r="F77" s="9">
        <f t="shared" si="1"/>
        <v>0</v>
      </c>
    </row>
    <row r="78" spans="1:6">
      <c r="A78" s="6">
        <f>계정과목!A58</f>
        <v>540</v>
      </c>
      <c r="B78" s="6" t="str">
        <f>계정과목!B58</f>
        <v>이자비용</v>
      </c>
      <c r="C78" s="7" t="str">
        <f>계정과목!C58</f>
        <v>비용</v>
      </c>
      <c r="D78" s="9">
        <f>SUMIFS(전표!$F$7:$F$282,전표!$E$7:$E$282,$A78,전표!$K$7:$K$282,$B$4)</f>
        <v>0</v>
      </c>
      <c r="E78" s="9">
        <f>SUMIFS(전표!$G$7:$G$282,전표!$E$7:$E$282,$A78,전표!$K$7:$K$282,$B$4)</f>
        <v>0</v>
      </c>
      <c r="F78" s="9">
        <f t="shared" si="1"/>
        <v>0</v>
      </c>
    </row>
    <row r="79" spans="1:6" ht="13.9">
      <c r="A79" s="17" t="s">
        <v>27</v>
      </c>
      <c r="B79" s="17"/>
      <c r="C79" s="17"/>
      <c r="D79" s="18">
        <f>SUM(D27:D78)</f>
        <v>106499267</v>
      </c>
      <c r="E79" s="18">
        <f>SUM(E27:E78)</f>
        <v>106592717</v>
      </c>
      <c r="F79" s="18">
        <f>SUM(F27:F78)</f>
        <v>-93450</v>
      </c>
    </row>
  </sheetData>
  <phoneticPr fontId="9" type="noConversion"/>
  <conditionalFormatting sqref="B10">
    <cfRule type="containsText" dxfId="5" priority="1" operator="containsText" text="불일치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2:R282"/>
  <sheetViews>
    <sheetView zoomScaleNormal="100" workbookViewId="0">
      <pane xSplit="2" ySplit="6" topLeftCell="C7" activePane="bottomRight" state="frozen"/>
      <selection pane="topRight"/>
      <selection pane="bottomLeft"/>
      <selection pane="bottomRight" activeCell="B28" sqref="B28"/>
    </sheetView>
  </sheetViews>
  <sheetFormatPr defaultRowHeight="13.5"/>
  <cols>
    <col min="1" max="1" width="16" customWidth="1"/>
    <col min="2" max="2" width="12" customWidth="1"/>
    <col min="3" max="3" width="13" customWidth="1"/>
    <col min="4" max="4" width="26" customWidth="1"/>
    <col min="5" max="5" width="11" style="23" customWidth="1"/>
    <col min="6" max="7" width="13" customWidth="1"/>
    <col min="8" max="8" width="12" customWidth="1"/>
    <col min="9" max="10" width="20.6875" bestFit="1" customWidth="1"/>
    <col min="11" max="11" width="10" customWidth="1"/>
    <col min="12" max="12" width="22" customWidth="1"/>
    <col min="13" max="13" width="8" customWidth="1"/>
    <col min="14" max="14" width="11" customWidth="1"/>
    <col min="15" max="15" width="10" customWidth="1"/>
    <col min="16" max="16" width="14" customWidth="1"/>
    <col min="17" max="17" width="12" customWidth="1"/>
    <col min="18" max="18" width="0" hidden="1" customWidth="1"/>
  </cols>
  <sheetData>
    <row r="2" spans="1:18" ht="17.649999999999999">
      <c r="A2" s="1" t="s">
        <v>28</v>
      </c>
    </row>
    <row r="3" spans="1:18">
      <c r="A3" s="2" t="s">
        <v>29</v>
      </c>
      <c r="E3" s="23" t="s">
        <v>163</v>
      </c>
    </row>
    <row r="4" spans="1:18">
      <c r="A4" s="2" t="s">
        <v>30</v>
      </c>
    </row>
    <row r="6" spans="1:18" ht="24" customHeight="1" thickBot="1">
      <c r="A6" s="37" t="s">
        <v>31</v>
      </c>
      <c r="B6" s="37" t="s">
        <v>32</v>
      </c>
      <c r="C6" s="37" t="s">
        <v>33</v>
      </c>
      <c r="D6" s="37" t="s">
        <v>34</v>
      </c>
      <c r="E6" s="37" t="s">
        <v>35</v>
      </c>
      <c r="F6" s="37" t="s">
        <v>24</v>
      </c>
      <c r="G6" s="37" t="s">
        <v>25</v>
      </c>
      <c r="H6" s="37" t="s">
        <v>36</v>
      </c>
      <c r="I6" s="37" t="s">
        <v>37</v>
      </c>
      <c r="J6" s="37" t="s">
        <v>38</v>
      </c>
      <c r="K6" s="38" t="s">
        <v>1</v>
      </c>
      <c r="L6" s="38" t="s">
        <v>22</v>
      </c>
      <c r="M6" s="38" t="s">
        <v>23</v>
      </c>
      <c r="N6" s="38" t="s">
        <v>39</v>
      </c>
      <c r="O6" s="38" t="s">
        <v>40</v>
      </c>
      <c r="P6" s="38" t="s">
        <v>41</v>
      </c>
      <c r="Q6" s="8" t="s">
        <v>42</v>
      </c>
      <c r="R6" t="s">
        <v>179</v>
      </c>
    </row>
    <row r="7" spans="1:18" ht="20" customHeight="1">
      <c r="A7" s="42" t="s">
        <v>121</v>
      </c>
      <c r="B7" s="43">
        <v>46296</v>
      </c>
      <c r="C7" s="44" t="s">
        <v>43</v>
      </c>
      <c r="D7" s="45" t="s">
        <v>122</v>
      </c>
      <c r="E7" s="44">
        <v>102</v>
      </c>
      <c r="F7" s="46">
        <v>10000000</v>
      </c>
      <c r="G7" s="46"/>
      <c r="H7" s="46"/>
      <c r="I7" s="45" t="s">
        <v>123</v>
      </c>
      <c r="J7" s="45" t="s">
        <v>124</v>
      </c>
      <c r="K7" s="39" t="str">
        <f t="shared" ref="K7:K70" si="0">IF($B7="","",TEXT($B7,"yyyy-mm"))</f>
        <v>2026-10</v>
      </c>
      <c r="L7" s="40" t="str">
        <f>IF($E7="","",IFERROR(INDEX(계정과목!$B$6:$B$58,MATCH($E7,계정과목!$A$6:$A$58,0)),"미등록"))</f>
        <v>보통예금</v>
      </c>
      <c r="M7" s="39" t="str">
        <f>IF($E7="","",IFERROR(INDEX(계정과목!$C$6:$C$58,MATCH($E7,계정과목!$A$6:$A$58,0)),""))</f>
        <v>자산</v>
      </c>
      <c r="N7" s="39" t="str">
        <f>IF($E7="","",IFERROR(INDEX(계정과목!$D$6:$D$58,MATCH($E7,계정과목!$A$6:$A$58,0)),""))</f>
        <v>해당없음</v>
      </c>
      <c r="O7" s="39" t="str">
        <f>IF($E7="","",IF(COUNTIF(계정과목!$A$6:$A$58,$E7)=0,"미등록","정상"))</f>
        <v>정상</v>
      </c>
      <c r="P7" s="41">
        <f>IF($A7="","",ROUND(SUMIFS(전표!$F$7:$F$282,전표!$A$7:$A$282,$A7)-SUMIFS(전표!$G$7:$G$282,전표!$A$7:$A$282,$A7),0))</f>
        <v>0</v>
      </c>
      <c r="Q7" s="10">
        <f t="shared" ref="Q7:Q46" si="1">IF(ISNUMBER($P7),IF(ABS($P7)&gt;=1,1,0),0)</f>
        <v>0</v>
      </c>
      <c r="R7">
        <f>IF($A7="","",0)</f>
        <v>0</v>
      </c>
    </row>
    <row r="8" spans="1:18" ht="20" customHeight="1" thickBot="1">
      <c r="A8" s="50" t="s">
        <v>121</v>
      </c>
      <c r="B8" s="51">
        <v>46296</v>
      </c>
      <c r="C8" s="52" t="s">
        <v>43</v>
      </c>
      <c r="D8" s="53" t="s">
        <v>122</v>
      </c>
      <c r="E8" s="52">
        <v>301</v>
      </c>
      <c r="F8" s="54"/>
      <c r="G8" s="54">
        <v>10000000</v>
      </c>
      <c r="H8" s="54"/>
      <c r="I8" s="53" t="s">
        <v>123</v>
      </c>
      <c r="J8" s="53" t="s">
        <v>124</v>
      </c>
      <c r="K8" s="47" t="str">
        <f t="shared" si="0"/>
        <v>2026-10</v>
      </c>
      <c r="L8" s="48" t="str">
        <f>IF($E8="","",IFERROR(INDEX(계정과목!$B$6:$B$58,MATCH($E8,계정과목!$A$6:$A$58,0)),"미등록"))</f>
        <v>자본금</v>
      </c>
      <c r="M8" s="47" t="str">
        <f>IF($E8="","",IFERROR(INDEX(계정과목!$C$6:$C$58,MATCH($E8,계정과목!$A$6:$A$58,0)),""))</f>
        <v>자본</v>
      </c>
      <c r="N8" s="47" t="str">
        <f>IF($E8="","",IFERROR(INDEX(계정과목!$D$6:$D$58,MATCH($E8,계정과목!$A$6:$A$58,0)),""))</f>
        <v>해당없음</v>
      </c>
      <c r="O8" s="47" t="str">
        <f>IF($E8="","",IF(COUNTIF(계정과목!$A$6:$A$58,$E8)=0,"미등록","정상"))</f>
        <v>정상</v>
      </c>
      <c r="P8" s="49">
        <f>IF($A8="","",ROUND(SUMIFS(전표!$F$7:$F$282,전표!$A$7:$A$282,$A8)-SUMIFS(전표!$G$7:$G$282,전표!$A$7:$A$282,$A8),0))</f>
        <v>0</v>
      </c>
      <c r="Q8" s="10">
        <f t="shared" si="1"/>
        <v>0</v>
      </c>
      <c r="R8">
        <f t="shared" ref="R8:R71" si="2">IF($A8="","",IF($A8=$A7,N($R7),1-N($R7)))</f>
        <v>0</v>
      </c>
    </row>
    <row r="9" spans="1:18" ht="20" customHeight="1">
      <c r="A9" s="58" t="s">
        <v>125</v>
      </c>
      <c r="B9" s="59">
        <v>46296</v>
      </c>
      <c r="C9" s="60" t="s">
        <v>126</v>
      </c>
      <c r="D9" s="61" t="s">
        <v>127</v>
      </c>
      <c r="E9" s="60">
        <v>102</v>
      </c>
      <c r="F9" s="62">
        <v>30000000</v>
      </c>
      <c r="G9" s="62"/>
      <c r="H9" s="62"/>
      <c r="I9" s="61" t="s">
        <v>128</v>
      </c>
      <c r="J9" s="61" t="s">
        <v>129</v>
      </c>
      <c r="K9" s="55" t="str">
        <f t="shared" si="0"/>
        <v>2026-10</v>
      </c>
      <c r="L9" s="56" t="str">
        <f>IF($E9="","",IFERROR(INDEX(계정과목!$B$6:$B$58,MATCH($E9,계정과목!$A$6:$A$58,0)),"미등록"))</f>
        <v>보통예금</v>
      </c>
      <c r="M9" s="55" t="str">
        <f>IF($E9="","",IFERROR(INDEX(계정과목!$C$6:$C$58,MATCH($E9,계정과목!$A$6:$A$58,0)),""))</f>
        <v>자산</v>
      </c>
      <c r="N9" s="55" t="str">
        <f>IF($E9="","",IFERROR(INDEX(계정과목!$D$6:$D$58,MATCH($E9,계정과목!$A$6:$A$58,0)),""))</f>
        <v>해당없음</v>
      </c>
      <c r="O9" s="55" t="str">
        <f>IF($E9="","",IF(COUNTIF(계정과목!$A$6:$A$58,$E9)=0,"미등록","정상"))</f>
        <v>정상</v>
      </c>
      <c r="P9" s="57">
        <f>IF($A9="","",ROUND(SUMIFS(전표!$F$7:$F$282,전표!$A$7:$A$282,$A9)-SUMIFS(전표!$G$7:$G$282,전표!$A$7:$A$282,$A9),0))</f>
        <v>0</v>
      </c>
      <c r="Q9" s="10">
        <f t="shared" si="1"/>
        <v>0</v>
      </c>
      <c r="R9">
        <f t="shared" si="2"/>
        <v>1</v>
      </c>
    </row>
    <row r="10" spans="1:18" ht="20" customHeight="1" thickBot="1">
      <c r="A10" s="69" t="s">
        <v>125</v>
      </c>
      <c r="B10" s="70">
        <v>46296</v>
      </c>
      <c r="C10" s="64" t="s">
        <v>126</v>
      </c>
      <c r="D10" s="63" t="s">
        <v>127</v>
      </c>
      <c r="E10" s="64">
        <v>241</v>
      </c>
      <c r="F10" s="65"/>
      <c r="G10" s="65">
        <v>30000000</v>
      </c>
      <c r="H10" s="65"/>
      <c r="I10" s="63" t="s">
        <v>133</v>
      </c>
      <c r="J10" s="63" t="s">
        <v>134</v>
      </c>
      <c r="K10" s="66" t="str">
        <f t="shared" si="0"/>
        <v>2026-10</v>
      </c>
      <c r="L10" s="67" t="str">
        <f>IF($E10="","",IFERROR(INDEX(계정과목!$B$6:$B$58,MATCH($E10,계정과목!$A$6:$A$58,0)),"미등록"))</f>
        <v>장기차입금</v>
      </c>
      <c r="M10" s="66" t="str">
        <f>IF($E10="","",IFERROR(INDEX(계정과목!$C$6:$C$58,MATCH($E10,계정과목!$A$6:$A$58,0)),""))</f>
        <v>부채</v>
      </c>
      <c r="N10" s="66" t="str">
        <f>IF($E10="","",IFERROR(INDEX(계정과목!$D$6:$D$58,MATCH($E10,계정과목!$A$6:$A$58,0)),""))</f>
        <v>해당없음</v>
      </c>
      <c r="O10" s="66" t="str">
        <f>IF($E10="","",IF(COUNTIF(계정과목!$A$6:$A$58,$E10)=0,"미등록","정상"))</f>
        <v>정상</v>
      </c>
      <c r="P10" s="68">
        <f>IF($A10="","",ROUND(SUMIFS(전표!$F$7:$F$282,전표!$A$7:$A$282,$A10)-SUMIFS(전표!$G$7:$G$282,전표!$A$7:$A$282,$A10),0))</f>
        <v>0</v>
      </c>
      <c r="Q10" s="10">
        <f t="shared" si="1"/>
        <v>0</v>
      </c>
      <c r="R10">
        <f t="shared" si="2"/>
        <v>1</v>
      </c>
    </row>
    <row r="11" spans="1:18" ht="20" customHeight="1">
      <c r="A11" s="42" t="s">
        <v>136</v>
      </c>
      <c r="B11" s="43">
        <v>46296</v>
      </c>
      <c r="C11" s="44" t="s">
        <v>44</v>
      </c>
      <c r="D11" s="45" t="s">
        <v>165</v>
      </c>
      <c r="E11" s="44">
        <v>510</v>
      </c>
      <c r="F11" s="46">
        <v>43000000</v>
      </c>
      <c r="G11" s="46"/>
      <c r="H11" s="46">
        <f>ROUND(F11*0.1, 0)</f>
        <v>4300000</v>
      </c>
      <c r="I11" s="45" t="s">
        <v>137</v>
      </c>
      <c r="J11" s="45"/>
      <c r="K11" s="39" t="str">
        <f t="shared" si="0"/>
        <v>2026-10</v>
      </c>
      <c r="L11" s="40" t="str">
        <f>IF($E11="","",IFERROR(INDEX(계정과목!$B$6:$B$58,MATCH($E11,계정과목!$A$6:$A$58,0)),"미등록"))</f>
        <v>임차료</v>
      </c>
      <c r="M11" s="39" t="str">
        <f>IF($E11="","",IFERROR(INDEX(계정과목!$C$6:$C$58,MATCH($E11,계정과목!$A$6:$A$58,0)),""))</f>
        <v>비용</v>
      </c>
      <c r="N11" s="39" t="str">
        <f>IF($E11="","",IFERROR(INDEX(계정과목!$D$6:$D$58,MATCH($E11,계정과목!$A$6:$A$58,0)),""))</f>
        <v>과세</v>
      </c>
      <c r="O11" s="39" t="str">
        <f>IF($E11="","",IF(COUNTIF(계정과목!$A$6:$A$58,$E11)=0,"미등록","정상"))</f>
        <v>정상</v>
      </c>
      <c r="P11" s="41">
        <f>IF($A11="","",ROUND(SUMIFS(전표!$F$7:$F$282,전표!$A$7:$A$282,$A11)-SUMIFS(전표!$G$7:$G$282,전표!$A$7:$A$282,$A11),0))</f>
        <v>0</v>
      </c>
      <c r="Q11" s="10">
        <f t="shared" si="1"/>
        <v>0</v>
      </c>
      <c r="R11">
        <f t="shared" si="2"/>
        <v>0</v>
      </c>
    </row>
    <row r="12" spans="1:18" ht="20" customHeight="1">
      <c r="A12" s="50" t="s">
        <v>136</v>
      </c>
      <c r="B12" s="51">
        <v>46296</v>
      </c>
      <c r="C12" s="52" t="s">
        <v>44</v>
      </c>
      <c r="D12" s="53" t="s">
        <v>166</v>
      </c>
      <c r="E12" s="52">
        <v>135</v>
      </c>
      <c r="F12" s="54">
        <f>ROUND(F11*0.1, 0)</f>
        <v>4300000</v>
      </c>
      <c r="G12" s="54"/>
      <c r="H12" s="54"/>
      <c r="I12" s="53" t="s">
        <v>137</v>
      </c>
      <c r="J12" s="53"/>
      <c r="K12" s="47" t="str">
        <f t="shared" si="0"/>
        <v>2026-10</v>
      </c>
      <c r="L12" s="48" t="str">
        <f>IF($E12="","",IFERROR(INDEX(계정과목!$B$6:$B$58,MATCH($E12,계정과목!$A$6:$A$58,0)),"미등록"))</f>
        <v>부가세대급금</v>
      </c>
      <c r="M12" s="47" t="str">
        <f>IF($E12="","",IFERROR(INDEX(계정과목!$C$6:$C$58,MATCH($E12,계정과목!$A$6:$A$58,0)),""))</f>
        <v>자산</v>
      </c>
      <c r="N12" s="47" t="str">
        <f>IF($E12="","",IFERROR(INDEX(계정과목!$D$6:$D$58,MATCH($E12,계정과목!$A$6:$A$58,0)),""))</f>
        <v>해당없음</v>
      </c>
      <c r="O12" s="47" t="str">
        <f>IF($E12="","",IF(COUNTIF(계정과목!$A$6:$A$58,$E12)=0,"미등록","정상"))</f>
        <v>정상</v>
      </c>
      <c r="P12" s="49">
        <f>IF($A12="","",ROUND(SUMIFS(전표!$F$7:$F$282,전표!$A$7:$A$282,$A12)-SUMIFS(전표!$G$7:$G$282,전표!$A$7:$A$282,$A12),0))</f>
        <v>0</v>
      </c>
      <c r="Q12" s="10">
        <f t="shared" si="1"/>
        <v>0</v>
      </c>
      <c r="R12">
        <f t="shared" si="2"/>
        <v>0</v>
      </c>
    </row>
    <row r="13" spans="1:18" ht="20" customHeight="1" thickBot="1">
      <c r="A13" s="50" t="s">
        <v>136</v>
      </c>
      <c r="B13" s="51">
        <v>46296</v>
      </c>
      <c r="C13" s="52" t="s">
        <v>44</v>
      </c>
      <c r="D13" s="53" t="s">
        <v>138</v>
      </c>
      <c r="E13" s="52">
        <v>202</v>
      </c>
      <c r="F13" s="54"/>
      <c r="G13" s="54">
        <f>SUM(F11, F12)</f>
        <v>47300000</v>
      </c>
      <c r="H13" s="54"/>
      <c r="I13" s="53" t="s">
        <v>137</v>
      </c>
      <c r="J13" s="53"/>
      <c r="K13" s="47" t="str">
        <f t="shared" si="0"/>
        <v>2026-10</v>
      </c>
      <c r="L13" s="48" t="str">
        <f>IF($E13="","",IFERROR(INDEX(계정과목!$B$6:$B$58,MATCH($E13,계정과목!$A$6:$A$58,0)),"미등록"))</f>
        <v>미지급금</v>
      </c>
      <c r="M13" s="47" t="str">
        <f>IF($E13="","",IFERROR(INDEX(계정과목!$C$6:$C$58,MATCH($E13,계정과목!$A$6:$A$58,0)),""))</f>
        <v>부채</v>
      </c>
      <c r="N13" s="47" t="str">
        <f>IF($E13="","",IFERROR(INDEX(계정과목!$D$6:$D$58,MATCH($E13,계정과목!$A$6:$A$58,0)),""))</f>
        <v>해당없음</v>
      </c>
      <c r="O13" s="47" t="str">
        <f>IF($E13="","",IF(COUNTIF(계정과목!$A$6:$A$58,$E13)=0,"미등록","정상"))</f>
        <v>정상</v>
      </c>
      <c r="P13" s="49">
        <f>IF($A13="","",ROUND(SUMIFS(전표!$F$7:$F$282,전표!$A$7:$A$282,$A13)-SUMIFS(전표!$G$7:$G$282,전표!$A$7:$A$282,$A13),0))</f>
        <v>0</v>
      </c>
      <c r="Q13" s="10">
        <f t="shared" si="1"/>
        <v>0</v>
      </c>
      <c r="R13">
        <f t="shared" si="2"/>
        <v>0</v>
      </c>
    </row>
    <row r="14" spans="1:18" ht="20" customHeight="1">
      <c r="A14" s="58" t="s">
        <v>139</v>
      </c>
      <c r="B14" s="59">
        <v>46297</v>
      </c>
      <c r="C14" s="60" t="s">
        <v>43</v>
      </c>
      <c r="D14" s="61" t="s">
        <v>167</v>
      </c>
      <c r="E14" s="60">
        <v>202</v>
      </c>
      <c r="F14" s="62">
        <f>ROUND(G13/3, 0)</f>
        <v>15766667</v>
      </c>
      <c r="G14" s="62"/>
      <c r="H14" s="62"/>
      <c r="I14" s="61" t="s">
        <v>137</v>
      </c>
      <c r="J14" s="61" t="s">
        <v>140</v>
      </c>
      <c r="K14" s="55" t="str">
        <f t="shared" si="0"/>
        <v>2026-10</v>
      </c>
      <c r="L14" s="56" t="str">
        <f>IF($E14="","",IFERROR(INDEX(계정과목!$B$6:$B$58,MATCH($E14,계정과목!$A$6:$A$58,0)),"미등록"))</f>
        <v>미지급금</v>
      </c>
      <c r="M14" s="55" t="str">
        <f>IF($E14="","",IFERROR(INDEX(계정과목!$C$6:$C$58,MATCH($E14,계정과목!$A$6:$A$58,0)),""))</f>
        <v>부채</v>
      </c>
      <c r="N14" s="55" t="str">
        <f>IF($E14="","",IFERROR(INDEX(계정과목!$D$6:$D$58,MATCH($E14,계정과목!$A$6:$A$58,0)),""))</f>
        <v>해당없음</v>
      </c>
      <c r="O14" s="55" t="str">
        <f>IF($E14="","",IF(COUNTIF(계정과목!$A$6:$A$58,$E14)=0,"미등록","정상"))</f>
        <v>정상</v>
      </c>
      <c r="P14" s="57">
        <f>IF($A14="","",ROUND(SUMIFS(전표!$F$7:$F$282,전표!$A$7:$A$282,$A14)-SUMIFS(전표!$G$7:$G$282,전표!$A$7:$A$282,$A14),0))</f>
        <v>0</v>
      </c>
      <c r="Q14" s="10">
        <f t="shared" si="1"/>
        <v>0</v>
      </c>
      <c r="R14">
        <f t="shared" si="2"/>
        <v>1</v>
      </c>
    </row>
    <row r="15" spans="1:18" ht="20" customHeight="1" thickBot="1">
      <c r="A15" s="69" t="s">
        <v>139</v>
      </c>
      <c r="B15" s="70">
        <v>46297</v>
      </c>
      <c r="C15" s="64" t="s">
        <v>43</v>
      </c>
      <c r="D15" s="63" t="s">
        <v>168</v>
      </c>
      <c r="E15" s="64">
        <v>102</v>
      </c>
      <c r="F15" s="65"/>
      <c r="G15" s="65">
        <f>F14</f>
        <v>15766667</v>
      </c>
      <c r="H15" s="65"/>
      <c r="I15" s="63" t="s">
        <v>137</v>
      </c>
      <c r="J15" s="63" t="s">
        <v>140</v>
      </c>
      <c r="K15" s="66" t="str">
        <f t="shared" si="0"/>
        <v>2026-10</v>
      </c>
      <c r="L15" s="67" t="str">
        <f>IF($E15="","",IFERROR(INDEX(계정과목!$B$6:$B$58,MATCH($E15,계정과목!$A$6:$A$58,0)),"미등록"))</f>
        <v>보통예금</v>
      </c>
      <c r="M15" s="66" t="str">
        <f>IF($E15="","",IFERROR(INDEX(계정과목!$C$6:$C$58,MATCH($E15,계정과목!$A$6:$A$58,0)),""))</f>
        <v>자산</v>
      </c>
      <c r="N15" s="66" t="str">
        <f>IF($E15="","",IFERROR(INDEX(계정과목!$D$6:$D$58,MATCH($E15,계정과목!$A$6:$A$58,0)),""))</f>
        <v>해당없음</v>
      </c>
      <c r="O15" s="66" t="str">
        <f>IF($E15="","",IF(COUNTIF(계정과목!$A$6:$A$58,$E15)=0,"미등록","정상"))</f>
        <v>정상</v>
      </c>
      <c r="P15" s="68">
        <f>IF($A15="","",ROUND(SUMIFS(전표!$F$7:$F$282,전표!$A$7:$A$282,$A15)-SUMIFS(전표!$G$7:$G$282,전표!$A$7:$A$282,$A15),0))</f>
        <v>0</v>
      </c>
      <c r="Q15" s="10">
        <f t="shared" si="1"/>
        <v>0</v>
      </c>
      <c r="R15">
        <f t="shared" si="2"/>
        <v>1</v>
      </c>
    </row>
    <row r="16" spans="1:18" ht="20" customHeight="1">
      <c r="A16" s="42" t="s">
        <v>141</v>
      </c>
      <c r="B16" s="43">
        <v>46298</v>
      </c>
      <c r="C16" s="44" t="s">
        <v>142</v>
      </c>
      <c r="D16" s="45" t="s">
        <v>169</v>
      </c>
      <c r="E16" s="44">
        <v>101</v>
      </c>
      <c r="F16" s="46">
        <v>7600</v>
      </c>
      <c r="G16" s="46"/>
      <c r="H16" s="46"/>
      <c r="I16" s="45" t="s">
        <v>145</v>
      </c>
      <c r="J16" s="45" t="s">
        <v>146</v>
      </c>
      <c r="K16" s="39" t="str">
        <f t="shared" si="0"/>
        <v>2026-10</v>
      </c>
      <c r="L16" s="40" t="str">
        <f>IF($E16="","",IFERROR(INDEX(계정과목!$B$6:$B$58,MATCH($E16,계정과목!$A$6:$A$58,0)),"미등록"))</f>
        <v>현금</v>
      </c>
      <c r="M16" s="39" t="str">
        <f>IF($E16="","",IFERROR(INDEX(계정과목!$C$6:$C$58,MATCH($E16,계정과목!$A$6:$A$58,0)),""))</f>
        <v>자산</v>
      </c>
      <c r="N16" s="39" t="str">
        <f>IF($E16="","",IFERROR(INDEX(계정과목!$D$6:$D$58,MATCH($E16,계정과목!$A$6:$A$58,0)),""))</f>
        <v>해당없음</v>
      </c>
      <c r="O16" s="39" t="str">
        <f>IF($E16="","",IF(COUNTIF(계정과목!$A$6:$A$58,$E16)=0,"미등록","정상"))</f>
        <v>정상</v>
      </c>
      <c r="P16" s="41">
        <f>IF($A16="","",ROUND(SUMIFS(전표!$F$7:$F$282,전표!$A$7:$A$282,$A16)-SUMIFS(전표!$G$7:$G$282,전표!$A$7:$A$282,$A16),0))</f>
        <v>0</v>
      </c>
      <c r="Q16" s="10">
        <f t="shared" si="1"/>
        <v>0</v>
      </c>
      <c r="R16">
        <f t="shared" si="2"/>
        <v>0</v>
      </c>
    </row>
    <row r="17" spans="1:18" ht="20" customHeight="1">
      <c r="A17" s="50" t="s">
        <v>141</v>
      </c>
      <c r="B17" s="51">
        <v>46298</v>
      </c>
      <c r="C17" s="52" t="s">
        <v>43</v>
      </c>
      <c r="D17" s="53" t="s">
        <v>170</v>
      </c>
      <c r="E17" s="52">
        <v>104</v>
      </c>
      <c r="F17" s="54">
        <v>30000</v>
      </c>
      <c r="G17" s="54"/>
      <c r="H17" s="54"/>
      <c r="I17" s="53" t="s">
        <v>137</v>
      </c>
      <c r="J17" s="53" t="s">
        <v>147</v>
      </c>
      <c r="K17" s="47" t="str">
        <f t="shared" si="0"/>
        <v>2026-10</v>
      </c>
      <c r="L17" s="48" t="str">
        <f>IF($E17="","",IFERROR(INDEX(계정과목!$B$6:$B$58,MATCH($E17,계정과목!$A$6:$A$58,0)),"미등록"))</f>
        <v>상품권</v>
      </c>
      <c r="M17" s="47" t="str">
        <f>IF($E17="","",IFERROR(INDEX(계정과목!$C$6:$C$58,MATCH($E17,계정과목!$A$6:$A$58,0)),""))</f>
        <v>자산</v>
      </c>
      <c r="N17" s="47" t="str">
        <f>IF($E17="","",IFERROR(INDEX(계정과목!$D$6:$D$58,MATCH($E17,계정과목!$A$6:$A$58,0)),""))</f>
        <v>해당없음</v>
      </c>
      <c r="O17" s="47" t="str">
        <f>IF($E17="","",IF(COUNTIF(계정과목!$A$6:$A$58,$E17)=0,"미등록","정상"))</f>
        <v>정상</v>
      </c>
      <c r="P17" s="49">
        <f>IF($A17="","",ROUND(SUMIFS(전표!$F$7:$F$282,전표!$A$7:$A$282,$A17)-SUMIFS(전표!$G$7:$G$282,전표!$A$7:$A$282,$A17),0))</f>
        <v>0</v>
      </c>
      <c r="Q17" s="10">
        <f t="shared" si="1"/>
        <v>0</v>
      </c>
      <c r="R17">
        <f t="shared" si="2"/>
        <v>0</v>
      </c>
    </row>
    <row r="18" spans="1:18" ht="20" customHeight="1">
      <c r="A18" s="50" t="s">
        <v>141</v>
      </c>
      <c r="B18" s="51">
        <v>46298</v>
      </c>
      <c r="C18" s="52" t="s">
        <v>144</v>
      </c>
      <c r="D18" s="53" t="s">
        <v>171</v>
      </c>
      <c r="E18" s="52">
        <v>103</v>
      </c>
      <c r="F18" s="54">
        <v>49000</v>
      </c>
      <c r="G18" s="54"/>
      <c r="H18" s="54"/>
      <c r="I18" s="53" t="s">
        <v>148</v>
      </c>
      <c r="J18" s="53" t="s">
        <v>149</v>
      </c>
      <c r="K18" s="47" t="str">
        <f t="shared" si="0"/>
        <v>2026-10</v>
      </c>
      <c r="L18" s="48" t="str">
        <f>IF($E18="","",IFERROR(INDEX(계정과목!$B$6:$B$58,MATCH($E18,계정과목!$A$6:$A$58,0)),"미등록"))</f>
        <v>카드매출미정산금</v>
      </c>
      <c r="M18" s="47" t="str">
        <f>IF($E18="","",IFERROR(INDEX(계정과목!$C$6:$C$58,MATCH($E18,계정과목!$A$6:$A$58,0)),""))</f>
        <v>자산</v>
      </c>
      <c r="N18" s="47" t="str">
        <f>IF($E18="","",IFERROR(INDEX(계정과목!$D$6:$D$58,MATCH($E18,계정과목!$A$6:$A$58,0)),""))</f>
        <v>해당없음</v>
      </c>
      <c r="O18" s="47" t="str">
        <f>IF($E18="","",IF(COUNTIF(계정과목!$A$6:$A$58,$E18)=0,"미등록","정상"))</f>
        <v>정상</v>
      </c>
      <c r="P18" s="49">
        <f>IF($A18="","",ROUND(SUMIFS(전표!$F$7:$F$282,전표!$A$7:$A$282,$A18)-SUMIFS(전표!$G$7:$G$282,전표!$A$7:$A$282,$A18),0))</f>
        <v>0</v>
      </c>
      <c r="Q18" s="10">
        <f t="shared" si="1"/>
        <v>0</v>
      </c>
      <c r="R18">
        <f t="shared" si="2"/>
        <v>0</v>
      </c>
    </row>
    <row r="19" spans="1:18" ht="20" customHeight="1">
      <c r="A19" s="50" t="s">
        <v>141</v>
      </c>
      <c r="B19" s="51">
        <v>46298</v>
      </c>
      <c r="C19" s="52" t="s">
        <v>43</v>
      </c>
      <c r="D19" s="53" t="s">
        <v>172</v>
      </c>
      <c r="E19" s="52">
        <v>220</v>
      </c>
      <c r="F19" s="54"/>
      <c r="G19" s="54">
        <f>ROUND((F16+F18+F17)/11, 0)</f>
        <v>7873</v>
      </c>
      <c r="H19" s="54"/>
      <c r="I19" s="53" t="s">
        <v>152</v>
      </c>
      <c r="J19" s="53" t="s">
        <v>153</v>
      </c>
      <c r="K19" s="47" t="str">
        <f t="shared" si="0"/>
        <v>2026-10</v>
      </c>
      <c r="L19" s="48" t="str">
        <f>IF($E19="","",IFERROR(INDEX(계정과목!$B$6:$B$58,MATCH($E19,계정과목!$A$6:$A$58,0)),"미등록"))</f>
        <v>부가세예수금</v>
      </c>
      <c r="M19" s="47" t="str">
        <f>IF($E19="","",IFERROR(INDEX(계정과목!$C$6:$C$58,MATCH($E19,계정과목!$A$6:$A$58,0)),""))</f>
        <v>부채</v>
      </c>
      <c r="N19" s="47" t="str">
        <f>IF($E19="","",IFERROR(INDEX(계정과목!$D$6:$D$58,MATCH($E19,계정과목!$A$6:$A$58,0)),""))</f>
        <v>해당없음</v>
      </c>
      <c r="O19" s="47" t="str">
        <f>IF($E19="","",IF(COUNTIF(계정과목!$A$6:$A$58,$E19)=0,"미등록","정상"))</f>
        <v>정상</v>
      </c>
      <c r="P19" s="49">
        <f>IF($A19="","",ROUND(SUMIFS(전표!$F$7:$F$282,전표!$A$7:$A$282,$A19)-SUMIFS(전표!$G$7:$G$282,전표!$A$7:$A$282,$A19),0))</f>
        <v>0</v>
      </c>
      <c r="Q19" s="10">
        <f t="shared" si="1"/>
        <v>0</v>
      </c>
      <c r="R19">
        <f t="shared" si="2"/>
        <v>0</v>
      </c>
    </row>
    <row r="20" spans="1:18" ht="20" customHeight="1">
      <c r="A20" s="50" t="s">
        <v>141</v>
      </c>
      <c r="B20" s="51">
        <v>46298</v>
      </c>
      <c r="C20" s="52" t="s">
        <v>144</v>
      </c>
      <c r="D20" s="53" t="s">
        <v>173</v>
      </c>
      <c r="E20" s="52">
        <v>401</v>
      </c>
      <c r="F20" s="54"/>
      <c r="G20" s="54">
        <f>ROUND(73600/1.1, 0)</f>
        <v>66909</v>
      </c>
      <c r="H20" s="54"/>
      <c r="I20" s="53" t="s">
        <v>145</v>
      </c>
      <c r="J20" s="53" t="s">
        <v>150</v>
      </c>
      <c r="K20" s="47" t="str">
        <f t="shared" si="0"/>
        <v>2026-10</v>
      </c>
      <c r="L20" s="48" t="str">
        <f>IF($E20="","",IFERROR(INDEX(계정과목!$B$6:$B$58,MATCH($E20,계정과목!$A$6:$A$58,0)),"미등록"))</f>
        <v>체험·입장료수입</v>
      </c>
      <c r="M20" s="47" t="str">
        <f>IF($E20="","",IFERROR(INDEX(계정과목!$C$6:$C$58,MATCH($E20,계정과목!$A$6:$A$58,0)),""))</f>
        <v>수익</v>
      </c>
      <c r="N20" s="47" t="str">
        <f>IF($E20="","",IFERROR(INDEX(계정과목!$D$6:$D$58,MATCH($E20,계정과목!$A$6:$A$58,0)),""))</f>
        <v>과세</v>
      </c>
      <c r="O20" s="47" t="str">
        <f>IF($E20="","",IF(COUNTIF(계정과목!$A$6:$A$58,$E20)=0,"미등록","정상"))</f>
        <v>정상</v>
      </c>
      <c r="P20" s="49">
        <f>IF($A20="","",ROUND(SUMIFS(전표!$F$7:$F$282,전표!$A$7:$A$282,$A20)-SUMIFS(전표!$G$7:$G$282,전표!$A$7:$A$282,$A20),0))</f>
        <v>0</v>
      </c>
      <c r="Q20" s="10">
        <f t="shared" si="1"/>
        <v>0</v>
      </c>
      <c r="R20">
        <f t="shared" si="2"/>
        <v>0</v>
      </c>
    </row>
    <row r="21" spans="1:18" ht="20" customHeight="1" thickBot="1">
      <c r="A21" s="50" t="s">
        <v>141</v>
      </c>
      <c r="B21" s="51">
        <v>46298</v>
      </c>
      <c r="C21" s="52" t="s">
        <v>144</v>
      </c>
      <c r="D21" s="53" t="s">
        <v>174</v>
      </c>
      <c r="E21" s="52">
        <v>403</v>
      </c>
      <c r="F21" s="54"/>
      <c r="G21" s="54">
        <f>ROUND(13000/1.1, 0)</f>
        <v>11818</v>
      </c>
      <c r="H21" s="54"/>
      <c r="I21" s="53" t="s">
        <v>151</v>
      </c>
      <c r="J21" s="53" t="s">
        <v>150</v>
      </c>
      <c r="K21" s="47" t="str">
        <f t="shared" si="0"/>
        <v>2026-10</v>
      </c>
      <c r="L21" s="48" t="str">
        <f>IF($E21="","",IFERROR(INDEX(계정과목!$B$6:$B$58,MATCH($E21,계정과목!$A$6:$A$58,0)),"미등록"))</f>
        <v>매점매출</v>
      </c>
      <c r="M21" s="47" t="str">
        <f>IF($E21="","",IFERROR(INDEX(계정과목!$C$6:$C$58,MATCH($E21,계정과목!$A$6:$A$58,0)),""))</f>
        <v>수익</v>
      </c>
      <c r="N21" s="47" t="str">
        <f>IF($E21="","",IFERROR(INDEX(계정과목!$D$6:$D$58,MATCH($E21,계정과목!$A$6:$A$58,0)),""))</f>
        <v>과세</v>
      </c>
      <c r="O21" s="47" t="str">
        <f>IF($E21="","",IF(COUNTIF(계정과목!$A$6:$A$58,$E21)=0,"미등록","정상"))</f>
        <v>정상</v>
      </c>
      <c r="P21" s="49">
        <f>IF($A21="","",ROUND(SUMIFS(전표!$F$7:$F$282,전표!$A$7:$A$282,$A21)-SUMIFS(전표!$G$7:$G$282,전표!$A$7:$A$282,$A21),0))</f>
        <v>0</v>
      </c>
      <c r="Q21" s="10">
        <f t="shared" si="1"/>
        <v>0</v>
      </c>
      <c r="R21">
        <f t="shared" si="2"/>
        <v>0</v>
      </c>
    </row>
    <row r="22" spans="1:18" ht="20" customHeight="1">
      <c r="A22" s="58" t="s">
        <v>154</v>
      </c>
      <c r="B22" s="59">
        <v>46299</v>
      </c>
      <c r="C22" s="60" t="s">
        <v>44</v>
      </c>
      <c r="D22" s="61" t="s">
        <v>175</v>
      </c>
      <c r="E22" s="60">
        <v>102</v>
      </c>
      <c r="F22" s="62">
        <v>3300000</v>
      </c>
      <c r="G22" s="62"/>
      <c r="H22" s="62"/>
      <c r="I22" s="61" t="s">
        <v>128</v>
      </c>
      <c r="J22" s="61" t="s">
        <v>155</v>
      </c>
      <c r="K22" s="55" t="str">
        <f t="shared" si="0"/>
        <v>2026-10</v>
      </c>
      <c r="L22" s="56" t="str">
        <f>IF($E22="","",IFERROR(INDEX(계정과목!$B$6:$B$58,MATCH($E22,계정과목!$A$6:$A$58,0)),"미등록"))</f>
        <v>보통예금</v>
      </c>
      <c r="M22" s="55" t="str">
        <f>IF($E22="","",IFERROR(INDEX(계정과목!$C$6:$C$58,MATCH($E22,계정과목!$A$6:$A$58,0)),""))</f>
        <v>자산</v>
      </c>
      <c r="N22" s="55" t="str">
        <f>IF($E22="","",IFERROR(INDEX(계정과목!$D$6:$D$58,MATCH($E22,계정과목!$A$6:$A$58,0)),""))</f>
        <v>해당없음</v>
      </c>
      <c r="O22" s="55" t="str">
        <f>IF($E22="","",IF(COUNTIF(계정과목!$A$6:$A$58,$E22)=0,"미등록","정상"))</f>
        <v>정상</v>
      </c>
      <c r="P22" s="57">
        <f>IF($A22="","",ROUND(SUMIFS(전표!$F$7:$F$282,전표!$A$7:$A$282,$A22)-SUMIFS(전표!$G$7:$G$282,전표!$A$7:$A$282,$A22),0))</f>
        <v>0</v>
      </c>
      <c r="Q22" s="10">
        <f t="shared" si="1"/>
        <v>0</v>
      </c>
      <c r="R22">
        <f t="shared" si="2"/>
        <v>1</v>
      </c>
    </row>
    <row r="23" spans="1:18" ht="20" customHeight="1">
      <c r="A23" s="69" t="s">
        <v>154</v>
      </c>
      <c r="B23" s="70">
        <v>46299</v>
      </c>
      <c r="C23" s="64" t="s">
        <v>44</v>
      </c>
      <c r="D23" s="63" t="s">
        <v>176</v>
      </c>
      <c r="E23" s="64">
        <v>401</v>
      </c>
      <c r="F23" s="65"/>
      <c r="G23" s="65">
        <v>3000000</v>
      </c>
      <c r="H23" s="65">
        <v>300000</v>
      </c>
      <c r="I23" s="63" t="s">
        <v>155</v>
      </c>
      <c r="J23" s="63" t="s">
        <v>150</v>
      </c>
      <c r="K23" s="66" t="str">
        <f t="shared" si="0"/>
        <v>2026-10</v>
      </c>
      <c r="L23" s="67" t="str">
        <f>IF($E23="","",IFERROR(INDEX(계정과목!$B$6:$B$58,MATCH($E23,계정과목!$A$6:$A$58,0)),"미등록"))</f>
        <v>체험·입장료수입</v>
      </c>
      <c r="M23" s="66" t="str">
        <f>IF($E23="","",IFERROR(INDEX(계정과목!$C$6:$C$58,MATCH($E23,계정과목!$A$6:$A$58,0)),""))</f>
        <v>수익</v>
      </c>
      <c r="N23" s="66" t="str">
        <f>IF($E23="","",IFERROR(INDEX(계정과목!$D$6:$D$58,MATCH($E23,계정과목!$A$6:$A$58,0)),""))</f>
        <v>과세</v>
      </c>
      <c r="O23" s="66" t="str">
        <f>IF($E23="","",IF(COUNTIF(계정과목!$A$6:$A$58,$E23)=0,"미등록","정상"))</f>
        <v>정상</v>
      </c>
      <c r="P23" s="68">
        <f>IF($A23="","",ROUND(SUMIFS(전표!$F$7:$F$282,전표!$A$7:$A$282,$A23)-SUMIFS(전표!$G$7:$G$282,전표!$A$7:$A$282,$A23),0))</f>
        <v>0</v>
      </c>
      <c r="Q23" s="10">
        <f t="shared" si="1"/>
        <v>0</v>
      </c>
      <c r="R23">
        <f t="shared" si="2"/>
        <v>1</v>
      </c>
    </row>
    <row r="24" spans="1:18" ht="20" customHeight="1" thickBot="1">
      <c r="A24" s="69" t="s">
        <v>154</v>
      </c>
      <c r="B24" s="70">
        <v>46299</v>
      </c>
      <c r="C24" s="64" t="s">
        <v>44</v>
      </c>
      <c r="D24" s="63" t="s">
        <v>172</v>
      </c>
      <c r="E24" s="64">
        <v>220</v>
      </c>
      <c r="F24" s="65"/>
      <c r="G24" s="65">
        <v>300000</v>
      </c>
      <c r="H24" s="65"/>
      <c r="I24" s="63" t="s">
        <v>152</v>
      </c>
      <c r="J24" s="63" t="s">
        <v>153</v>
      </c>
      <c r="K24" s="66" t="str">
        <f t="shared" si="0"/>
        <v>2026-10</v>
      </c>
      <c r="L24" s="67" t="str">
        <f>IF($E24="","",IFERROR(INDEX(계정과목!$B$6:$B$58,MATCH($E24,계정과목!$A$6:$A$58,0)),"미등록"))</f>
        <v>부가세예수금</v>
      </c>
      <c r="M24" s="66" t="str">
        <f>IF($E24="","",IFERROR(INDEX(계정과목!$C$6:$C$58,MATCH($E24,계정과목!$A$6:$A$58,0)),""))</f>
        <v>부채</v>
      </c>
      <c r="N24" s="66" t="str">
        <f>IF($E24="","",IFERROR(INDEX(계정과목!$D$6:$D$58,MATCH($E24,계정과목!$A$6:$A$58,0)),""))</f>
        <v>해당없음</v>
      </c>
      <c r="O24" s="66" t="str">
        <f>IF($E24="","",IF(COUNTIF(계정과목!$A$6:$A$58,$E24)=0,"미등록","정상"))</f>
        <v>정상</v>
      </c>
      <c r="P24" s="68">
        <f>IF($A24="","",ROUND(SUMIFS(전표!$F$7:$F$282,전표!$A$7:$A$282,$A24)-SUMIFS(전표!$G$7:$G$282,전표!$A$7:$A$282,$A24),0))</f>
        <v>0</v>
      </c>
      <c r="Q24" s="10">
        <f t="shared" si="1"/>
        <v>0</v>
      </c>
      <c r="R24">
        <f t="shared" si="2"/>
        <v>1</v>
      </c>
    </row>
    <row r="25" spans="1:18" ht="20" customHeight="1">
      <c r="A25" s="42" t="s">
        <v>156</v>
      </c>
      <c r="B25" s="43">
        <v>46300</v>
      </c>
      <c r="C25" s="44" t="s">
        <v>144</v>
      </c>
      <c r="D25" s="45" t="s">
        <v>157</v>
      </c>
      <c r="E25" s="44">
        <v>516</v>
      </c>
      <c r="F25" s="46">
        <v>50000</v>
      </c>
      <c r="G25" s="46"/>
      <c r="H25" s="46">
        <v>5000</v>
      </c>
      <c r="I25" s="45" t="s">
        <v>158</v>
      </c>
      <c r="J25" s="45" t="s">
        <v>159</v>
      </c>
      <c r="K25" s="39" t="str">
        <f t="shared" si="0"/>
        <v>2026-10</v>
      </c>
      <c r="L25" s="40" t="str">
        <f>IF($E25="","",IFERROR(INDEX(계정과목!$B$6:$B$58,MATCH($E25,계정과목!$A$6:$A$58,0)),"미등록"))</f>
        <v>소모품비</v>
      </c>
      <c r="M25" s="39" t="str">
        <f>IF($E25="","",IFERROR(INDEX(계정과목!$C$6:$C$58,MATCH($E25,계정과목!$A$6:$A$58,0)),""))</f>
        <v>비용</v>
      </c>
      <c r="N25" s="39" t="str">
        <f>IF($E25="","",IFERROR(INDEX(계정과목!$D$6:$D$58,MATCH($E25,계정과목!$A$6:$A$58,0)),""))</f>
        <v>과세</v>
      </c>
      <c r="O25" s="39" t="str">
        <f>IF($E25="","",IF(COUNTIF(계정과목!$A$6:$A$58,$E25)=0,"미등록","정상"))</f>
        <v>정상</v>
      </c>
      <c r="P25" s="41">
        <f>IF($A25="","",ROUND(SUMIFS(전표!$F$7:$F$282,전표!$A$7:$A$282,$A25)-SUMIFS(전표!$G$7:$G$282,전표!$A$7:$A$282,$A25),0))</f>
        <v>0</v>
      </c>
      <c r="Q25" s="10">
        <f t="shared" si="1"/>
        <v>0</v>
      </c>
      <c r="R25">
        <f t="shared" si="2"/>
        <v>0</v>
      </c>
    </row>
    <row r="26" spans="1:18" ht="20" customHeight="1">
      <c r="A26" s="50" t="s">
        <v>156</v>
      </c>
      <c r="B26" s="51">
        <v>46300</v>
      </c>
      <c r="C26" s="52" t="s">
        <v>144</v>
      </c>
      <c r="D26" s="53" t="s">
        <v>177</v>
      </c>
      <c r="E26" s="52">
        <v>135</v>
      </c>
      <c r="F26" s="54">
        <v>5000</v>
      </c>
      <c r="G26" s="54"/>
      <c r="H26" s="54"/>
      <c r="I26" s="53" t="s">
        <v>158</v>
      </c>
      <c r="J26" s="53" t="s">
        <v>160</v>
      </c>
      <c r="K26" s="47" t="str">
        <f t="shared" si="0"/>
        <v>2026-10</v>
      </c>
      <c r="L26" s="48" t="str">
        <f>IF($E26="","",IFERROR(INDEX(계정과목!$B$6:$B$58,MATCH($E26,계정과목!$A$6:$A$58,0)),"미등록"))</f>
        <v>부가세대급금</v>
      </c>
      <c r="M26" s="47" t="str">
        <f>IF($E26="","",IFERROR(INDEX(계정과목!$C$6:$C$58,MATCH($E26,계정과목!$A$6:$A$58,0)),""))</f>
        <v>자산</v>
      </c>
      <c r="N26" s="47" t="str">
        <f>IF($E26="","",IFERROR(INDEX(계정과목!$D$6:$D$58,MATCH($E26,계정과목!$A$6:$A$58,0)),""))</f>
        <v>해당없음</v>
      </c>
      <c r="O26" s="47" t="str">
        <f>IF($E26="","",IF(COUNTIF(계정과목!$A$6:$A$58,$E26)=0,"미등록","정상"))</f>
        <v>정상</v>
      </c>
      <c r="P26" s="49">
        <f>IF($A26="","",ROUND(SUMIFS(전표!$F$7:$F$282,전표!$A$7:$A$282,$A26)-SUMIFS(전표!$G$7:$G$282,전표!$A$7:$A$282,$A26),0))</f>
        <v>0</v>
      </c>
      <c r="Q26" s="10">
        <f t="shared" si="1"/>
        <v>0</v>
      </c>
      <c r="R26">
        <f t="shared" si="2"/>
        <v>0</v>
      </c>
    </row>
    <row r="27" spans="1:18" ht="20" customHeight="1" thickBot="1">
      <c r="A27" s="50" t="s">
        <v>156</v>
      </c>
      <c r="B27" s="51">
        <v>46300</v>
      </c>
      <c r="C27" s="52" t="s">
        <v>144</v>
      </c>
      <c r="D27" s="53" t="s">
        <v>178</v>
      </c>
      <c r="E27" s="52">
        <v>202</v>
      </c>
      <c r="F27" s="54"/>
      <c r="G27" s="54">
        <v>55000</v>
      </c>
      <c r="H27" s="54"/>
      <c r="I27" s="53" t="s">
        <v>161</v>
      </c>
      <c r="J27" s="53" t="s">
        <v>162</v>
      </c>
      <c r="K27" s="47" t="str">
        <f t="shared" si="0"/>
        <v>2026-10</v>
      </c>
      <c r="L27" s="48" t="str">
        <f>IF($E27="","",IFERROR(INDEX(계정과목!$B$6:$B$58,MATCH($E27,계정과목!$A$6:$A$58,0)),"미등록"))</f>
        <v>미지급금</v>
      </c>
      <c r="M27" s="47" t="str">
        <f>IF($E27="","",IFERROR(INDEX(계정과목!$C$6:$C$58,MATCH($E27,계정과목!$A$6:$A$58,0)),""))</f>
        <v>부채</v>
      </c>
      <c r="N27" s="47" t="str">
        <f>IF($E27="","",IFERROR(INDEX(계정과목!$D$6:$D$58,MATCH($E27,계정과목!$A$6:$A$58,0)),""))</f>
        <v>해당없음</v>
      </c>
      <c r="O27" s="47" t="str">
        <f>IF($E27="","",IF(COUNTIF(계정과목!$A$6:$A$58,$E27)=0,"미등록","정상"))</f>
        <v>정상</v>
      </c>
      <c r="P27" s="49">
        <f>IF($A27="","",ROUND(SUMIFS(전표!$F$7:$F$282,전표!$A$7:$A$282,$A27)-SUMIFS(전표!$G$7:$G$282,전표!$A$7:$A$282,$A27),0))</f>
        <v>0</v>
      </c>
      <c r="Q27" s="10">
        <f t="shared" si="1"/>
        <v>0</v>
      </c>
      <c r="R27">
        <f t="shared" si="2"/>
        <v>0</v>
      </c>
    </row>
    <row r="28" spans="1:18" ht="20" customHeight="1">
      <c r="A28" s="58" t="s">
        <v>164</v>
      </c>
      <c r="B28" s="59">
        <v>46301</v>
      </c>
      <c r="C28" s="60" t="s">
        <v>180</v>
      </c>
      <c r="D28" s="61" t="s">
        <v>181</v>
      </c>
      <c r="E28" s="60">
        <v>101</v>
      </c>
      <c r="F28" s="62">
        <v>40000</v>
      </c>
      <c r="G28" s="62"/>
      <c r="H28" s="62"/>
      <c r="I28" s="61" t="s">
        <v>182</v>
      </c>
      <c r="J28" s="61" t="s">
        <v>183</v>
      </c>
      <c r="K28" s="55" t="str">
        <f t="shared" si="0"/>
        <v>2026-10</v>
      </c>
      <c r="L28" s="56" t="str">
        <f>IF($E28="","",IFERROR(INDEX(계정과목!$B$6:$B$58,MATCH($E28,계정과목!$A$6:$A$58,0)),"미등록"))</f>
        <v>현금</v>
      </c>
      <c r="M28" s="55" t="str">
        <f>IF($E28="","",IFERROR(INDEX(계정과목!$C$6:$C$58,MATCH($E28,계정과목!$A$6:$A$58,0)),""))</f>
        <v>자산</v>
      </c>
      <c r="N28" s="55" t="str">
        <f>IF($E28="","",IFERROR(INDEX(계정과목!$D$6:$D$58,MATCH($E28,계정과목!$A$6:$A$58,0)),""))</f>
        <v>해당없음</v>
      </c>
      <c r="O28" s="55" t="str">
        <f>IF($E28="","",IF(COUNTIF(계정과목!$A$6:$A$58,$E28)=0,"미등록","정상"))</f>
        <v>정상</v>
      </c>
      <c r="P28" s="57">
        <f>IF($A28="","",ROUND(SUMIFS(전표!$F$7:$F$282,전표!$A$7:$A$282,$A28)-SUMIFS(전표!$G$7:$G$282,전표!$A$7:$A$282,$A28),0))</f>
        <v>0</v>
      </c>
      <c r="Q28" s="10">
        <f t="shared" si="1"/>
        <v>0</v>
      </c>
      <c r="R28">
        <f t="shared" si="2"/>
        <v>1</v>
      </c>
    </row>
    <row r="29" spans="1:18" ht="20" customHeight="1">
      <c r="A29" s="79" t="s">
        <v>184</v>
      </c>
      <c r="B29" s="80">
        <v>46301</v>
      </c>
      <c r="C29" s="81" t="s">
        <v>185</v>
      </c>
      <c r="D29" s="82" t="s">
        <v>186</v>
      </c>
      <c r="E29" s="81">
        <v>103</v>
      </c>
      <c r="F29" s="83">
        <v>44450</v>
      </c>
      <c r="G29" s="83"/>
      <c r="H29" s="83"/>
      <c r="I29" s="82" t="s">
        <v>187</v>
      </c>
      <c r="J29" s="82" t="s">
        <v>188</v>
      </c>
      <c r="K29" s="84" t="str">
        <f t="shared" si="0"/>
        <v>2026-10</v>
      </c>
      <c r="L29" s="85" t="str">
        <f>IF($E29="","",IFERROR(INDEX(계정과목!$B$6:$B$58,MATCH($E29,계정과목!$A$6:$A$58,0)),"미등록"))</f>
        <v>카드매출미정산금</v>
      </c>
      <c r="M29" s="84" t="str">
        <f>IF($E29="","",IFERROR(INDEX(계정과목!$C$6:$C$58,MATCH($E29,계정과목!$A$6:$A$58,0)),""))</f>
        <v>자산</v>
      </c>
      <c r="N29" s="84" t="str">
        <f>IF($E29="","",IFERROR(INDEX(계정과목!$D$6:$D$58,MATCH($E29,계정과목!$A$6:$A$58,0)),""))</f>
        <v>해당없음</v>
      </c>
      <c r="O29" s="84" t="str">
        <f>IF($E29="","",IF(COUNTIF(계정과목!$A$6:$A$58,$E29)=0,"미등록","정상"))</f>
        <v>정상</v>
      </c>
      <c r="P29" s="86">
        <f>IF($A29="","",ROUND(SUMIFS(전표!$F$7:$F$282,전표!$A$7:$A$282,$A29)-SUMIFS(전표!$G$7:$G$282,전표!$A$7:$A$282,$A29),0))</f>
        <v>0</v>
      </c>
      <c r="Q29" s="10">
        <f t="shared" si="1"/>
        <v>0</v>
      </c>
      <c r="R29">
        <f t="shared" si="2"/>
        <v>1</v>
      </c>
    </row>
    <row r="30" spans="1:18" ht="20" customHeight="1">
      <c r="A30" s="79" t="s">
        <v>184</v>
      </c>
      <c r="B30" s="80">
        <v>46301</v>
      </c>
      <c r="C30" s="81" t="s">
        <v>185</v>
      </c>
      <c r="D30" s="82" t="s">
        <v>189</v>
      </c>
      <c r="E30" s="81">
        <v>401</v>
      </c>
      <c r="F30" s="83"/>
      <c r="G30" s="83">
        <v>60000</v>
      </c>
      <c r="H30" s="83">
        <v>6000</v>
      </c>
      <c r="I30" s="82" t="s">
        <v>182</v>
      </c>
      <c r="J30" s="82" t="s">
        <v>190</v>
      </c>
      <c r="K30" s="84" t="str">
        <f t="shared" si="0"/>
        <v>2026-10</v>
      </c>
      <c r="L30" s="85" t="str">
        <f>IF($E30="","",IFERROR(INDEX(계정과목!$B$6:$B$58,MATCH($E30,계정과목!$A$6:$A$58,0)),"미등록"))</f>
        <v>체험·입장료수입</v>
      </c>
      <c r="M30" s="84" t="str">
        <f>IF($E30="","",IFERROR(INDEX(계정과목!$C$6:$C$58,MATCH($E30,계정과목!$A$6:$A$58,0)),""))</f>
        <v>수익</v>
      </c>
      <c r="N30" s="84" t="str">
        <f>IF($E30="","",IFERROR(INDEX(계정과목!$D$6:$D$58,MATCH($E30,계정과목!$A$6:$A$58,0)),""))</f>
        <v>과세</v>
      </c>
      <c r="O30" s="84" t="str">
        <f>IF($E30="","",IF(COUNTIF(계정과목!$A$6:$A$58,$E30)=0,"미등록","정상"))</f>
        <v>정상</v>
      </c>
      <c r="P30" s="86">
        <f>IF($A30="","",ROUND(SUMIFS(전표!$F$7:$F$282,전표!$A$7:$A$282,$A30)-SUMIFS(전표!$G$7:$G$282,전표!$A$7:$A$282,$A30),0))</f>
        <v>0</v>
      </c>
      <c r="Q30" s="10">
        <f t="shared" si="1"/>
        <v>0</v>
      </c>
      <c r="R30">
        <f t="shared" si="2"/>
        <v>1</v>
      </c>
    </row>
    <row r="31" spans="1:18" ht="20" customHeight="1">
      <c r="A31" s="79" t="s">
        <v>184</v>
      </c>
      <c r="B31" s="80">
        <v>46301</v>
      </c>
      <c r="C31" s="81" t="s">
        <v>185</v>
      </c>
      <c r="D31" s="82" t="s">
        <v>191</v>
      </c>
      <c r="E31" s="81">
        <v>403</v>
      </c>
      <c r="F31" s="83"/>
      <c r="G31" s="83">
        <v>16773</v>
      </c>
      <c r="H31" s="83">
        <v>1677</v>
      </c>
      <c r="I31" s="82" t="s">
        <v>182</v>
      </c>
      <c r="J31" s="82" t="s">
        <v>192</v>
      </c>
      <c r="K31" s="84" t="str">
        <f t="shared" si="0"/>
        <v>2026-10</v>
      </c>
      <c r="L31" s="85" t="str">
        <f>IF($E31="","",IFERROR(INDEX(계정과목!$B$6:$B$58,MATCH($E31,계정과목!$A$6:$A$58,0)),"미등록"))</f>
        <v>매점매출</v>
      </c>
      <c r="M31" s="84" t="str">
        <f>IF($E31="","",IFERROR(INDEX(계정과목!$C$6:$C$58,MATCH($E31,계정과목!$A$6:$A$58,0)),""))</f>
        <v>수익</v>
      </c>
      <c r="N31" s="84" t="str">
        <f>IF($E31="","",IFERROR(INDEX(계정과목!$D$6:$D$58,MATCH($E31,계정과목!$A$6:$A$58,0)),""))</f>
        <v>과세</v>
      </c>
      <c r="O31" s="84" t="str">
        <f>IF($E31="","",IF(COUNTIF(계정과목!$A$6:$A$58,$E31)=0,"미등록","정상"))</f>
        <v>정상</v>
      </c>
      <c r="P31" s="86">
        <f>IF($A31="","",ROUND(SUMIFS(전표!$F$7:$F$282,전표!$A$7:$A$282,$A31)-SUMIFS(전표!$G$7:$G$282,전표!$A$7:$A$282,$A31),0))</f>
        <v>0</v>
      </c>
      <c r="Q31" s="10">
        <f t="shared" si="1"/>
        <v>0</v>
      </c>
      <c r="R31">
        <f t="shared" si="2"/>
        <v>1</v>
      </c>
    </row>
    <row r="32" spans="1:18" ht="20" customHeight="1" thickBot="1">
      <c r="A32" s="95" t="s">
        <v>184</v>
      </c>
      <c r="B32" s="96">
        <v>46301</v>
      </c>
      <c r="C32" s="97" t="s">
        <v>193</v>
      </c>
      <c r="D32" s="98" t="s">
        <v>194</v>
      </c>
      <c r="E32" s="97">
        <v>220</v>
      </c>
      <c r="F32" s="99"/>
      <c r="G32" s="99">
        <v>7677</v>
      </c>
      <c r="H32" s="99"/>
      <c r="I32" s="98" t="s">
        <v>195</v>
      </c>
      <c r="J32" s="98" t="s">
        <v>196</v>
      </c>
      <c r="K32" s="100" t="str">
        <f t="shared" si="0"/>
        <v>2026-10</v>
      </c>
      <c r="L32" s="101" t="str">
        <f>IF($E32="","",IFERROR(INDEX(계정과목!$B$6:$B$58,MATCH($E32,계정과목!$A$6:$A$58,0)),"미등록"))</f>
        <v>부가세예수금</v>
      </c>
      <c r="M32" s="100" t="str">
        <f>IF($E32="","",IFERROR(INDEX(계정과목!$C$6:$C$58,MATCH($E32,계정과목!$A$6:$A$58,0)),""))</f>
        <v>부채</v>
      </c>
      <c r="N32" s="100" t="str">
        <f>IF($E32="","",IFERROR(INDEX(계정과목!$D$6:$D$58,MATCH($E32,계정과목!$A$6:$A$58,0)),""))</f>
        <v>해당없음</v>
      </c>
      <c r="O32" s="100" t="str">
        <f>IF($E32="","",IF(COUNTIF(계정과목!$A$6:$A$58,$E32)=0,"미등록","정상"))</f>
        <v>정상</v>
      </c>
      <c r="P32" s="102">
        <f>IF($A32="","",ROUND(SUMIFS(전표!$F$7:$F$282,전표!$A$7:$A$282,$A32)-SUMIFS(전표!$G$7:$G$282,전표!$A$7:$A$282,$A32),0))</f>
        <v>0</v>
      </c>
      <c r="Q32" s="103">
        <f t="shared" si="1"/>
        <v>0</v>
      </c>
      <c r="R32">
        <f t="shared" si="2"/>
        <v>1</v>
      </c>
    </row>
    <row r="33" spans="1:18" ht="20" customHeight="1">
      <c r="A33" s="87"/>
      <c r="B33" s="88"/>
      <c r="C33" s="89"/>
      <c r="D33" s="90"/>
      <c r="E33" s="89"/>
      <c r="F33" s="91"/>
      <c r="G33" s="91"/>
      <c r="H33" s="91"/>
      <c r="I33" s="90"/>
      <c r="J33" s="90"/>
      <c r="K33" s="92" t="str">
        <f t="shared" si="0"/>
        <v/>
      </c>
      <c r="L33" s="93" t="str">
        <f>IF($E33="","",IFERROR(INDEX(계정과목!$B$6:$B$58,MATCH($E33,계정과목!$A$6:$A$58,0)),"미등록"))</f>
        <v/>
      </c>
      <c r="M33" s="92" t="str">
        <f>IF($E33="","",IFERROR(INDEX(계정과목!$C$6:$C$58,MATCH($E33,계정과목!$A$6:$A$58,0)),""))</f>
        <v/>
      </c>
      <c r="N33" s="92" t="str">
        <f>IF($E33="","",IFERROR(INDEX(계정과목!$D$6:$D$58,MATCH($E33,계정과목!$A$6:$A$58,0)),""))</f>
        <v/>
      </c>
      <c r="O33" s="92" t="str">
        <f>IF($E33="","",IF(COUNTIF(계정과목!$A$6:$A$58,$E33)=0,"미등록","정상"))</f>
        <v/>
      </c>
      <c r="P33" s="94" t="str">
        <f>IF($A33="","",ROUND(SUMIFS(전표!$F$7:$F$282,전표!$A$7:$A$282,$A33)-SUMIFS(전표!$G$7:$G$282,전표!$A$7:$A$282,$A33),0))</f>
        <v/>
      </c>
      <c r="Q33" s="10">
        <f t="shared" si="1"/>
        <v>0</v>
      </c>
      <c r="R33" t="str">
        <f t="shared" si="2"/>
        <v/>
      </c>
    </row>
    <row r="34" spans="1:18" ht="20" customHeight="1">
      <c r="A34" s="79"/>
      <c r="B34" s="80"/>
      <c r="C34" s="81"/>
      <c r="D34" s="82"/>
      <c r="E34" s="81"/>
      <c r="F34" s="83"/>
      <c r="G34" s="83"/>
      <c r="H34" s="83"/>
      <c r="I34" s="82"/>
      <c r="J34" s="82"/>
      <c r="K34" s="84" t="str">
        <f t="shared" si="0"/>
        <v/>
      </c>
      <c r="L34" s="85" t="str">
        <f>IF($E34="","",IFERROR(INDEX(계정과목!$B$6:$B$58,MATCH($E34,계정과목!$A$6:$A$58,0)),"미등록"))</f>
        <v/>
      </c>
      <c r="M34" s="84" t="str">
        <f>IF($E34="","",IFERROR(INDEX(계정과목!$C$6:$C$58,MATCH($E34,계정과목!$A$6:$A$58,0)),""))</f>
        <v/>
      </c>
      <c r="N34" s="84" t="str">
        <f>IF($E34="","",IFERROR(INDEX(계정과목!$D$6:$D$58,MATCH($E34,계정과목!$A$6:$A$58,0)),""))</f>
        <v/>
      </c>
      <c r="O34" s="84" t="str">
        <f>IF($E34="","",IF(COUNTIF(계정과목!$A$6:$A$58,$E34)=0,"미등록","정상"))</f>
        <v/>
      </c>
      <c r="P34" s="86" t="str">
        <f>IF($A34="","",ROUND(SUMIFS(전표!$F$7:$F$282,전표!$A$7:$A$282,$A34)-SUMIFS(전표!$G$7:$G$282,전표!$A$7:$A$282,$A34),0))</f>
        <v/>
      </c>
      <c r="Q34" s="10">
        <f t="shared" si="1"/>
        <v>0</v>
      </c>
      <c r="R34" t="str">
        <f t="shared" si="2"/>
        <v/>
      </c>
    </row>
    <row r="35" spans="1:18" ht="20" customHeight="1">
      <c r="A35" s="79"/>
      <c r="B35" s="80"/>
      <c r="C35" s="81"/>
      <c r="D35" s="82"/>
      <c r="E35" s="81"/>
      <c r="F35" s="83"/>
      <c r="G35" s="83"/>
      <c r="H35" s="83"/>
      <c r="I35" s="82"/>
      <c r="J35" s="82"/>
      <c r="K35" s="84" t="str">
        <f t="shared" si="0"/>
        <v/>
      </c>
      <c r="L35" s="85" t="str">
        <f>IF($E35="","",IFERROR(INDEX(계정과목!$B$6:$B$58,MATCH($E35,계정과목!$A$6:$A$58,0)),"미등록"))</f>
        <v/>
      </c>
      <c r="M35" s="84" t="str">
        <f>IF($E35="","",IFERROR(INDEX(계정과목!$C$6:$C$58,MATCH($E35,계정과목!$A$6:$A$58,0)),""))</f>
        <v/>
      </c>
      <c r="N35" s="84" t="str">
        <f>IF($E35="","",IFERROR(INDEX(계정과목!$D$6:$D$58,MATCH($E35,계정과목!$A$6:$A$58,0)),""))</f>
        <v/>
      </c>
      <c r="O35" s="84" t="str">
        <f>IF($E35="","",IF(COUNTIF(계정과목!$A$6:$A$58,$E35)=0,"미등록","정상"))</f>
        <v/>
      </c>
      <c r="P35" s="86" t="str">
        <f>IF($A35="","",ROUND(SUMIFS(전표!$F$7:$F$282,전표!$A$7:$A$282,$A35)-SUMIFS(전표!$G$7:$G$282,전표!$A$7:$A$282,$A35),0))</f>
        <v/>
      </c>
      <c r="Q35" s="10">
        <f t="shared" si="1"/>
        <v>0</v>
      </c>
      <c r="R35" t="str">
        <f t="shared" si="2"/>
        <v/>
      </c>
    </row>
    <row r="36" spans="1:18" ht="20" customHeight="1">
      <c r="A36" s="79"/>
      <c r="B36" s="80"/>
      <c r="C36" s="81"/>
      <c r="D36" s="82"/>
      <c r="E36" s="81"/>
      <c r="F36" s="83"/>
      <c r="G36" s="83"/>
      <c r="H36" s="83"/>
      <c r="I36" s="82"/>
      <c r="J36" s="82"/>
      <c r="K36" s="84" t="str">
        <f t="shared" si="0"/>
        <v/>
      </c>
      <c r="L36" s="85" t="str">
        <f>IF($E36="","",IFERROR(INDEX(계정과목!$B$6:$B$58,MATCH($E36,계정과목!$A$6:$A$58,0)),"미등록"))</f>
        <v/>
      </c>
      <c r="M36" s="84" t="str">
        <f>IF($E36="","",IFERROR(INDEX(계정과목!$C$6:$C$58,MATCH($E36,계정과목!$A$6:$A$58,0)),""))</f>
        <v/>
      </c>
      <c r="N36" s="84" t="str">
        <f>IF($E36="","",IFERROR(INDEX(계정과목!$D$6:$D$58,MATCH($E36,계정과목!$A$6:$A$58,0)),""))</f>
        <v/>
      </c>
      <c r="O36" s="84" t="str">
        <f>IF($E36="","",IF(COUNTIF(계정과목!$A$6:$A$58,$E36)=0,"미등록","정상"))</f>
        <v/>
      </c>
      <c r="P36" s="86" t="str">
        <f>IF($A36="","",ROUND(SUMIFS(전표!$F$7:$F$282,전표!$A$7:$A$282,$A36)-SUMIFS(전표!$G$7:$G$282,전표!$A$7:$A$282,$A36),0))</f>
        <v/>
      </c>
      <c r="Q36" s="10">
        <f t="shared" si="1"/>
        <v>0</v>
      </c>
      <c r="R36" t="str">
        <f t="shared" si="2"/>
        <v/>
      </c>
    </row>
    <row r="37" spans="1:18" ht="20" customHeight="1">
      <c r="A37" s="79"/>
      <c r="B37" s="80"/>
      <c r="C37" s="81"/>
      <c r="D37" s="82"/>
      <c r="E37" s="81"/>
      <c r="F37" s="83"/>
      <c r="G37" s="83"/>
      <c r="H37" s="83"/>
      <c r="I37" s="82"/>
      <c r="J37" s="82"/>
      <c r="K37" s="84" t="str">
        <f t="shared" si="0"/>
        <v/>
      </c>
      <c r="L37" s="85" t="str">
        <f>IF($E37="","",IFERROR(INDEX(계정과목!$B$6:$B$58,MATCH($E37,계정과목!$A$6:$A$58,0)),"미등록"))</f>
        <v/>
      </c>
      <c r="M37" s="84" t="str">
        <f>IF($E37="","",IFERROR(INDEX(계정과목!$C$6:$C$58,MATCH($E37,계정과목!$A$6:$A$58,0)),""))</f>
        <v/>
      </c>
      <c r="N37" s="84" t="str">
        <f>IF($E37="","",IFERROR(INDEX(계정과목!$D$6:$D$58,MATCH($E37,계정과목!$A$6:$A$58,0)),""))</f>
        <v/>
      </c>
      <c r="O37" s="84" t="str">
        <f>IF($E37="","",IF(COUNTIF(계정과목!$A$6:$A$58,$E37)=0,"미등록","정상"))</f>
        <v/>
      </c>
      <c r="P37" s="86" t="str">
        <f>IF($A37="","",ROUND(SUMIFS(전표!$F$7:$F$282,전표!$A$7:$A$282,$A37)-SUMIFS(전표!$G$7:$G$282,전표!$A$7:$A$282,$A37),0))</f>
        <v/>
      </c>
      <c r="Q37" s="10">
        <f t="shared" si="1"/>
        <v>0</v>
      </c>
      <c r="R37" t="str">
        <f t="shared" si="2"/>
        <v/>
      </c>
    </row>
    <row r="38" spans="1:18" ht="20" customHeight="1">
      <c r="A38" s="79"/>
      <c r="B38" s="80"/>
      <c r="C38" s="81"/>
      <c r="D38" s="82"/>
      <c r="E38" s="81"/>
      <c r="F38" s="83"/>
      <c r="G38" s="83"/>
      <c r="H38" s="83"/>
      <c r="I38" s="82"/>
      <c r="J38" s="82"/>
      <c r="K38" s="84" t="str">
        <f t="shared" si="0"/>
        <v/>
      </c>
      <c r="L38" s="85" t="str">
        <f>IF($E38="","",IFERROR(INDEX(계정과목!$B$6:$B$58,MATCH($E38,계정과목!$A$6:$A$58,0)),"미등록"))</f>
        <v/>
      </c>
      <c r="M38" s="84" t="str">
        <f>IF($E38="","",IFERROR(INDEX(계정과목!$C$6:$C$58,MATCH($E38,계정과목!$A$6:$A$58,0)),""))</f>
        <v/>
      </c>
      <c r="N38" s="84" t="str">
        <f>IF($E38="","",IFERROR(INDEX(계정과목!$D$6:$D$58,MATCH($E38,계정과목!$A$6:$A$58,0)),""))</f>
        <v/>
      </c>
      <c r="O38" s="84" t="str">
        <f>IF($E38="","",IF(COUNTIF(계정과목!$A$6:$A$58,$E38)=0,"미등록","정상"))</f>
        <v/>
      </c>
      <c r="P38" s="86" t="str">
        <f>IF($A38="","",ROUND(SUMIFS(전표!$F$7:$F$282,전표!$A$7:$A$282,$A38)-SUMIFS(전표!$G$7:$G$282,전표!$A$7:$A$282,$A38),0))</f>
        <v/>
      </c>
      <c r="Q38" s="10">
        <f t="shared" si="1"/>
        <v>0</v>
      </c>
      <c r="R38" t="str">
        <f t="shared" si="2"/>
        <v/>
      </c>
    </row>
    <row r="39" spans="1:18" ht="20" customHeight="1">
      <c r="A39" s="79"/>
      <c r="B39" s="80"/>
      <c r="C39" s="81"/>
      <c r="D39" s="82"/>
      <c r="E39" s="81"/>
      <c r="F39" s="83"/>
      <c r="G39" s="83"/>
      <c r="H39" s="83"/>
      <c r="I39" s="82"/>
      <c r="J39" s="82"/>
      <c r="K39" s="84" t="str">
        <f t="shared" si="0"/>
        <v/>
      </c>
      <c r="L39" s="85" t="str">
        <f>IF($E39="","",IFERROR(INDEX(계정과목!$B$6:$B$58,MATCH($E39,계정과목!$A$6:$A$58,0)),"미등록"))</f>
        <v/>
      </c>
      <c r="M39" s="84" t="str">
        <f>IF($E39="","",IFERROR(INDEX(계정과목!$C$6:$C$58,MATCH($E39,계정과목!$A$6:$A$58,0)),""))</f>
        <v/>
      </c>
      <c r="N39" s="84" t="str">
        <f>IF($E39="","",IFERROR(INDEX(계정과목!$D$6:$D$58,MATCH($E39,계정과목!$A$6:$A$58,0)),""))</f>
        <v/>
      </c>
      <c r="O39" s="84" t="str">
        <f>IF($E39="","",IF(COUNTIF(계정과목!$A$6:$A$58,$E39)=0,"미등록","정상"))</f>
        <v/>
      </c>
      <c r="P39" s="86" t="str">
        <f>IF($A39="","",ROUND(SUMIFS(전표!$F$7:$F$282,전표!$A$7:$A$282,$A39)-SUMIFS(전표!$G$7:$G$282,전표!$A$7:$A$282,$A39),0))</f>
        <v/>
      </c>
      <c r="Q39" s="10">
        <f t="shared" si="1"/>
        <v>0</v>
      </c>
      <c r="R39" t="str">
        <f t="shared" si="2"/>
        <v/>
      </c>
    </row>
    <row r="40" spans="1:18" ht="20" customHeight="1">
      <c r="A40" s="79"/>
      <c r="B40" s="80"/>
      <c r="C40" s="81"/>
      <c r="D40" s="82"/>
      <c r="E40" s="81"/>
      <c r="F40" s="83"/>
      <c r="G40" s="83"/>
      <c r="H40" s="83"/>
      <c r="I40" s="82"/>
      <c r="J40" s="82"/>
      <c r="K40" s="84" t="str">
        <f t="shared" si="0"/>
        <v/>
      </c>
      <c r="L40" s="85" t="str">
        <f>IF($E40="","",IFERROR(INDEX(계정과목!$B$6:$B$58,MATCH($E40,계정과목!$A$6:$A$58,0)),"미등록"))</f>
        <v/>
      </c>
      <c r="M40" s="84" t="str">
        <f>IF($E40="","",IFERROR(INDEX(계정과목!$C$6:$C$58,MATCH($E40,계정과목!$A$6:$A$58,0)),""))</f>
        <v/>
      </c>
      <c r="N40" s="84" t="str">
        <f>IF($E40="","",IFERROR(INDEX(계정과목!$D$6:$D$58,MATCH($E40,계정과목!$A$6:$A$58,0)),""))</f>
        <v/>
      </c>
      <c r="O40" s="84" t="str">
        <f>IF($E40="","",IF(COUNTIF(계정과목!$A$6:$A$58,$E40)=0,"미등록","정상"))</f>
        <v/>
      </c>
      <c r="P40" s="86" t="str">
        <f>IF($A40="","",ROUND(SUMIFS(전표!$F$7:$F$282,전표!$A$7:$A$282,$A40)-SUMIFS(전표!$G$7:$G$282,전표!$A$7:$A$282,$A40),0))</f>
        <v/>
      </c>
      <c r="Q40" s="10">
        <f t="shared" si="1"/>
        <v>0</v>
      </c>
      <c r="R40" t="str">
        <f t="shared" si="2"/>
        <v/>
      </c>
    </row>
    <row r="41" spans="1:18" ht="20" customHeight="1">
      <c r="A41" s="79"/>
      <c r="B41" s="80"/>
      <c r="C41" s="81"/>
      <c r="D41" s="82"/>
      <c r="E41" s="81"/>
      <c r="F41" s="83"/>
      <c r="G41" s="83"/>
      <c r="H41" s="83"/>
      <c r="I41" s="82"/>
      <c r="J41" s="82"/>
      <c r="K41" s="84" t="str">
        <f t="shared" si="0"/>
        <v/>
      </c>
      <c r="L41" s="85" t="str">
        <f>IF($E41="","",IFERROR(INDEX(계정과목!$B$6:$B$58,MATCH($E41,계정과목!$A$6:$A$58,0)),"미등록"))</f>
        <v/>
      </c>
      <c r="M41" s="84" t="str">
        <f>IF($E41="","",IFERROR(INDEX(계정과목!$C$6:$C$58,MATCH($E41,계정과목!$A$6:$A$58,0)),""))</f>
        <v/>
      </c>
      <c r="N41" s="84" t="str">
        <f>IF($E41="","",IFERROR(INDEX(계정과목!$D$6:$D$58,MATCH($E41,계정과목!$A$6:$A$58,0)),""))</f>
        <v/>
      </c>
      <c r="O41" s="84" t="str">
        <f>IF($E41="","",IF(COUNTIF(계정과목!$A$6:$A$58,$E41)=0,"미등록","정상"))</f>
        <v/>
      </c>
      <c r="P41" s="86" t="str">
        <f>IF($A41="","",ROUND(SUMIFS(전표!$F$7:$F$282,전표!$A$7:$A$282,$A41)-SUMIFS(전표!$G$7:$G$282,전표!$A$7:$A$282,$A41),0))</f>
        <v/>
      </c>
      <c r="Q41" s="10">
        <f t="shared" si="1"/>
        <v>0</v>
      </c>
      <c r="R41" t="str">
        <f t="shared" si="2"/>
        <v/>
      </c>
    </row>
    <row r="42" spans="1:18" ht="20" customHeight="1">
      <c r="A42" s="79"/>
      <c r="B42" s="80"/>
      <c r="C42" s="81"/>
      <c r="D42" s="82"/>
      <c r="E42" s="81"/>
      <c r="F42" s="83"/>
      <c r="G42" s="83"/>
      <c r="H42" s="83"/>
      <c r="I42" s="82"/>
      <c r="J42" s="82"/>
      <c r="K42" s="84" t="str">
        <f t="shared" si="0"/>
        <v/>
      </c>
      <c r="L42" s="85" t="str">
        <f>IF($E42="","",IFERROR(INDEX(계정과목!$B$6:$B$58,MATCH($E42,계정과목!$A$6:$A$58,0)),"미등록"))</f>
        <v/>
      </c>
      <c r="M42" s="84" t="str">
        <f>IF($E42="","",IFERROR(INDEX(계정과목!$C$6:$C$58,MATCH($E42,계정과목!$A$6:$A$58,0)),""))</f>
        <v/>
      </c>
      <c r="N42" s="84" t="str">
        <f>IF($E42="","",IFERROR(INDEX(계정과목!$D$6:$D$58,MATCH($E42,계정과목!$A$6:$A$58,0)),""))</f>
        <v/>
      </c>
      <c r="O42" s="84" t="str">
        <f>IF($E42="","",IF(COUNTIF(계정과목!$A$6:$A$58,$E42)=0,"미등록","정상"))</f>
        <v/>
      </c>
      <c r="P42" s="86" t="str">
        <f>IF($A42="","",ROUND(SUMIFS(전표!$F$7:$F$282,전표!$A$7:$A$282,$A42)-SUMIFS(전표!$G$7:$G$282,전표!$A$7:$A$282,$A42),0))</f>
        <v/>
      </c>
      <c r="Q42" s="10">
        <f t="shared" si="1"/>
        <v>0</v>
      </c>
      <c r="R42" t="str">
        <f t="shared" si="2"/>
        <v/>
      </c>
    </row>
    <row r="43" spans="1:18" ht="20" customHeight="1">
      <c r="A43" s="79"/>
      <c r="B43" s="80"/>
      <c r="C43" s="81"/>
      <c r="D43" s="82"/>
      <c r="E43" s="81"/>
      <c r="F43" s="83"/>
      <c r="G43" s="83"/>
      <c r="H43" s="83"/>
      <c r="I43" s="82"/>
      <c r="J43" s="82"/>
      <c r="K43" s="84" t="str">
        <f t="shared" si="0"/>
        <v/>
      </c>
      <c r="L43" s="85" t="str">
        <f>IF($E43="","",IFERROR(INDEX(계정과목!$B$6:$B$58,MATCH($E43,계정과목!$A$6:$A$58,0)),"미등록"))</f>
        <v/>
      </c>
      <c r="M43" s="84" t="str">
        <f>IF($E43="","",IFERROR(INDEX(계정과목!$C$6:$C$58,MATCH($E43,계정과목!$A$6:$A$58,0)),""))</f>
        <v/>
      </c>
      <c r="N43" s="84" t="str">
        <f>IF($E43="","",IFERROR(INDEX(계정과목!$D$6:$D$58,MATCH($E43,계정과목!$A$6:$A$58,0)),""))</f>
        <v/>
      </c>
      <c r="O43" s="84" t="str">
        <f>IF($E43="","",IF(COUNTIF(계정과목!$A$6:$A$58,$E43)=0,"미등록","정상"))</f>
        <v/>
      </c>
      <c r="P43" s="86" t="str">
        <f>IF($A43="","",ROUND(SUMIFS(전표!$F$7:$F$282,전표!$A$7:$A$282,$A43)-SUMIFS(전표!$G$7:$G$282,전표!$A$7:$A$282,$A43),0))</f>
        <v/>
      </c>
      <c r="Q43" s="10">
        <f t="shared" si="1"/>
        <v>0</v>
      </c>
      <c r="R43" t="str">
        <f t="shared" si="2"/>
        <v/>
      </c>
    </row>
    <row r="44" spans="1:18" ht="20" customHeight="1">
      <c r="A44" s="79"/>
      <c r="B44" s="80"/>
      <c r="C44" s="81"/>
      <c r="D44" s="82"/>
      <c r="E44" s="81"/>
      <c r="F44" s="83"/>
      <c r="G44" s="83"/>
      <c r="H44" s="83"/>
      <c r="I44" s="82"/>
      <c r="J44" s="82"/>
      <c r="K44" s="84" t="str">
        <f t="shared" si="0"/>
        <v/>
      </c>
      <c r="L44" s="85" t="str">
        <f>IF($E44="","",IFERROR(INDEX(계정과목!$B$6:$B$58,MATCH($E44,계정과목!$A$6:$A$58,0)),"미등록"))</f>
        <v/>
      </c>
      <c r="M44" s="84" t="str">
        <f>IF($E44="","",IFERROR(INDEX(계정과목!$C$6:$C$58,MATCH($E44,계정과목!$A$6:$A$58,0)),""))</f>
        <v/>
      </c>
      <c r="N44" s="84" t="str">
        <f>IF($E44="","",IFERROR(INDEX(계정과목!$D$6:$D$58,MATCH($E44,계정과목!$A$6:$A$58,0)),""))</f>
        <v/>
      </c>
      <c r="O44" s="84" t="str">
        <f>IF($E44="","",IF(COUNTIF(계정과목!$A$6:$A$58,$E44)=0,"미등록","정상"))</f>
        <v/>
      </c>
      <c r="P44" s="86" t="str">
        <f>IF($A44="","",ROUND(SUMIFS(전표!$F$7:$F$282,전표!$A$7:$A$282,$A44)-SUMIFS(전표!$G$7:$G$282,전표!$A$7:$A$282,$A44),0))</f>
        <v/>
      </c>
      <c r="Q44" s="10">
        <f t="shared" si="1"/>
        <v>0</v>
      </c>
      <c r="R44" t="str">
        <f t="shared" si="2"/>
        <v/>
      </c>
    </row>
    <row r="45" spans="1:18" ht="20" customHeight="1">
      <c r="A45" s="79"/>
      <c r="B45" s="80"/>
      <c r="C45" s="81"/>
      <c r="D45" s="82"/>
      <c r="E45" s="81"/>
      <c r="F45" s="83"/>
      <c r="G45" s="83"/>
      <c r="H45" s="83"/>
      <c r="I45" s="82"/>
      <c r="J45" s="82"/>
      <c r="K45" s="84" t="str">
        <f t="shared" si="0"/>
        <v/>
      </c>
      <c r="L45" s="85" t="str">
        <f>IF($E45="","",IFERROR(INDEX(계정과목!$B$6:$B$58,MATCH($E45,계정과목!$A$6:$A$58,0)),"미등록"))</f>
        <v/>
      </c>
      <c r="M45" s="84" t="str">
        <f>IF($E45="","",IFERROR(INDEX(계정과목!$C$6:$C$58,MATCH($E45,계정과목!$A$6:$A$58,0)),""))</f>
        <v/>
      </c>
      <c r="N45" s="84" t="str">
        <f>IF($E45="","",IFERROR(INDEX(계정과목!$D$6:$D$58,MATCH($E45,계정과목!$A$6:$A$58,0)),""))</f>
        <v/>
      </c>
      <c r="O45" s="84" t="str">
        <f>IF($E45="","",IF(COUNTIF(계정과목!$A$6:$A$58,$E45)=0,"미등록","정상"))</f>
        <v/>
      </c>
      <c r="P45" s="86" t="str">
        <f>IF($A45="","",ROUND(SUMIFS(전표!$F$7:$F$282,전표!$A$7:$A$282,$A45)-SUMIFS(전표!$G$7:$G$282,전표!$A$7:$A$282,$A45),0))</f>
        <v/>
      </c>
      <c r="Q45" s="10">
        <f t="shared" si="1"/>
        <v>0</v>
      </c>
      <c r="R45" t="str">
        <f t="shared" si="2"/>
        <v/>
      </c>
    </row>
    <row r="46" spans="1:18" ht="20" customHeight="1">
      <c r="A46" s="79"/>
      <c r="B46" s="80"/>
      <c r="C46" s="81"/>
      <c r="D46" s="82"/>
      <c r="E46" s="81"/>
      <c r="F46" s="83"/>
      <c r="G46" s="83"/>
      <c r="H46" s="83"/>
      <c r="I46" s="82"/>
      <c r="J46" s="82"/>
      <c r="K46" s="84" t="str">
        <f t="shared" si="0"/>
        <v/>
      </c>
      <c r="L46" s="85" t="str">
        <f>IF($E46="","",IFERROR(INDEX(계정과목!$B$6:$B$58,MATCH($E46,계정과목!$A$6:$A$58,0)),"미등록"))</f>
        <v/>
      </c>
      <c r="M46" s="84" t="str">
        <f>IF($E46="","",IFERROR(INDEX(계정과목!$C$6:$C$58,MATCH($E46,계정과목!$A$6:$A$58,0)),""))</f>
        <v/>
      </c>
      <c r="N46" s="84" t="str">
        <f>IF($E46="","",IFERROR(INDEX(계정과목!$D$6:$D$58,MATCH($E46,계정과목!$A$6:$A$58,0)),""))</f>
        <v/>
      </c>
      <c r="O46" s="84" t="str">
        <f>IF($E46="","",IF(COUNTIF(계정과목!$A$6:$A$58,$E46)=0,"미등록","정상"))</f>
        <v/>
      </c>
      <c r="P46" s="86" t="str">
        <f>IF($A46="","",ROUND(SUMIFS(전표!$F$7:$F$282,전표!$A$7:$A$282,$A46)-SUMIFS(전표!$G$7:$G$282,전표!$A$7:$A$282,$A46),0))</f>
        <v/>
      </c>
      <c r="Q46" s="10">
        <f t="shared" si="1"/>
        <v>0</v>
      </c>
      <c r="R46" t="str">
        <f t="shared" si="2"/>
        <v/>
      </c>
    </row>
    <row r="47" spans="1:18" ht="20" customHeight="1">
      <c r="A47" s="79"/>
      <c r="B47" s="80"/>
      <c r="C47" s="81"/>
      <c r="D47" s="82"/>
      <c r="E47" s="81"/>
      <c r="F47" s="83"/>
      <c r="G47" s="83"/>
      <c r="H47" s="83"/>
      <c r="I47" s="82"/>
      <c r="J47" s="82"/>
      <c r="K47" s="84" t="str">
        <f t="shared" si="0"/>
        <v/>
      </c>
      <c r="L47" s="85" t="str">
        <f>IF($E47="","",IFERROR(INDEX(계정과목!$B$6:$B$58,MATCH($E47,계정과목!$A$6:$A$58,0)),"미등록"))</f>
        <v/>
      </c>
      <c r="M47" s="84" t="str">
        <f>IF($E47="","",IFERROR(INDEX(계정과목!$C$6:$C$58,MATCH($E47,계정과목!$A$6:$A$58,0)),""))</f>
        <v/>
      </c>
      <c r="N47" s="84" t="str">
        <f>IF($E47="","",IFERROR(INDEX(계정과목!$D$6:$D$58,MATCH($E47,계정과목!$A$6:$A$58,0)),""))</f>
        <v/>
      </c>
      <c r="O47" s="84" t="str">
        <f>IF($E47="","",IF(COUNTIF(계정과목!$A$6:$A$58,$E47)=0,"미등록","정상"))</f>
        <v/>
      </c>
      <c r="P47" s="86" t="str">
        <f>IF($A47="","",ROUND(SUMIFS(전표!$F$7:$F$282,전표!$A$7:$A$282,$A47)-SUMIFS(전표!$G$7:$G$282,전표!$A$7:$A$282,$A47),0))</f>
        <v/>
      </c>
      <c r="Q47" s="10">
        <f t="shared" ref="Q47:Q110" si="3">IF(ISNUMBER($P47),IF(ABS($P47)&gt;=1,1,0),0)</f>
        <v>0</v>
      </c>
      <c r="R47" t="str">
        <f t="shared" si="2"/>
        <v/>
      </c>
    </row>
    <row r="48" spans="1:18" ht="20" customHeight="1">
      <c r="A48" s="79"/>
      <c r="B48" s="80"/>
      <c r="C48" s="81"/>
      <c r="D48" s="82"/>
      <c r="E48" s="81"/>
      <c r="F48" s="83"/>
      <c r="G48" s="83"/>
      <c r="H48" s="83"/>
      <c r="I48" s="82"/>
      <c r="J48" s="82"/>
      <c r="K48" s="84" t="str">
        <f t="shared" si="0"/>
        <v/>
      </c>
      <c r="L48" s="85" t="str">
        <f>IF($E48="","",IFERROR(INDEX(계정과목!$B$6:$B$58,MATCH($E48,계정과목!$A$6:$A$58,0)),"미등록"))</f>
        <v/>
      </c>
      <c r="M48" s="84" t="str">
        <f>IF($E48="","",IFERROR(INDEX(계정과목!$C$6:$C$58,MATCH($E48,계정과목!$A$6:$A$58,0)),""))</f>
        <v/>
      </c>
      <c r="N48" s="84" t="str">
        <f>IF($E48="","",IFERROR(INDEX(계정과목!$D$6:$D$58,MATCH($E48,계정과목!$A$6:$A$58,0)),""))</f>
        <v/>
      </c>
      <c r="O48" s="84" t="str">
        <f>IF($E48="","",IF(COUNTIF(계정과목!$A$6:$A$58,$E48)=0,"미등록","정상"))</f>
        <v/>
      </c>
      <c r="P48" s="86" t="str">
        <f>IF($A48="","",ROUND(SUMIFS(전표!$F$7:$F$282,전표!$A$7:$A$282,$A48)-SUMIFS(전표!$G$7:$G$282,전표!$A$7:$A$282,$A48),0))</f>
        <v/>
      </c>
      <c r="Q48" s="10">
        <f t="shared" si="3"/>
        <v>0</v>
      </c>
      <c r="R48" t="str">
        <f t="shared" si="2"/>
        <v/>
      </c>
    </row>
    <row r="49" spans="1:18" ht="20" customHeight="1">
      <c r="A49" s="79"/>
      <c r="B49" s="80"/>
      <c r="C49" s="81"/>
      <c r="D49" s="82"/>
      <c r="E49" s="81"/>
      <c r="F49" s="83"/>
      <c r="G49" s="83"/>
      <c r="H49" s="83"/>
      <c r="I49" s="82"/>
      <c r="J49" s="82"/>
      <c r="K49" s="84" t="str">
        <f t="shared" si="0"/>
        <v/>
      </c>
      <c r="L49" s="85" t="str">
        <f>IF($E49="","",IFERROR(INDEX(계정과목!$B$6:$B$58,MATCH($E49,계정과목!$A$6:$A$58,0)),"미등록"))</f>
        <v/>
      </c>
      <c r="M49" s="84" t="str">
        <f>IF($E49="","",IFERROR(INDEX(계정과목!$C$6:$C$58,MATCH($E49,계정과목!$A$6:$A$58,0)),""))</f>
        <v/>
      </c>
      <c r="N49" s="84" t="str">
        <f>IF($E49="","",IFERROR(INDEX(계정과목!$D$6:$D$58,MATCH($E49,계정과목!$A$6:$A$58,0)),""))</f>
        <v/>
      </c>
      <c r="O49" s="84" t="str">
        <f>IF($E49="","",IF(COUNTIF(계정과목!$A$6:$A$58,$E49)=0,"미등록","정상"))</f>
        <v/>
      </c>
      <c r="P49" s="86" t="str">
        <f>IF($A49="","",ROUND(SUMIFS(전표!$F$7:$F$282,전표!$A$7:$A$282,$A49)-SUMIFS(전표!$G$7:$G$282,전표!$A$7:$A$282,$A49),0))</f>
        <v/>
      </c>
      <c r="Q49" s="10">
        <f t="shared" si="3"/>
        <v>0</v>
      </c>
      <c r="R49" t="str">
        <f t="shared" si="2"/>
        <v/>
      </c>
    </row>
    <row r="50" spans="1:18" ht="20" customHeight="1">
      <c r="A50" s="71"/>
      <c r="B50" s="72"/>
      <c r="C50" s="73"/>
      <c r="D50" s="74"/>
      <c r="E50" s="73"/>
      <c r="F50" s="75"/>
      <c r="G50" s="75"/>
      <c r="H50" s="75"/>
      <c r="I50" s="74"/>
      <c r="J50" s="74"/>
      <c r="K50" s="76" t="str">
        <f t="shared" si="0"/>
        <v/>
      </c>
      <c r="L50" s="77" t="str">
        <f>IF($E50="","",IFERROR(INDEX(계정과목!$B$6:$B$58,MATCH($E50,계정과목!$A$6:$A$58,0)),"미등록"))</f>
        <v/>
      </c>
      <c r="M50" s="76" t="str">
        <f>IF($E50="","",IFERROR(INDEX(계정과목!$C$6:$C$58,MATCH($E50,계정과목!$A$6:$A$58,0)),""))</f>
        <v/>
      </c>
      <c r="N50" s="76" t="str">
        <f>IF($E50="","",IFERROR(INDEX(계정과목!$D$6:$D$58,MATCH($E50,계정과목!$A$6:$A$58,0)),""))</f>
        <v/>
      </c>
      <c r="O50" s="76" t="str">
        <f>IF($E50="","",IF(COUNTIF(계정과목!$A$6:$A$58,$E50)=0,"미등록","정상"))</f>
        <v/>
      </c>
      <c r="P50" s="78" t="str">
        <f>IF($A50="","",ROUND(SUMIFS(전표!$F$7:$F$282,전표!$A$7:$A$282,$A50)-SUMIFS(전표!$G$7:$G$282,전표!$A$7:$A$282,$A50),0))</f>
        <v/>
      </c>
      <c r="Q50" s="10">
        <f t="shared" si="3"/>
        <v>0</v>
      </c>
      <c r="R50" t="str">
        <f t="shared" si="2"/>
        <v/>
      </c>
    </row>
    <row r="51" spans="1:18" ht="20" customHeight="1">
      <c r="A51" s="28"/>
      <c r="B51" s="30"/>
      <c r="C51" s="24"/>
      <c r="D51" s="32"/>
      <c r="E51" s="24"/>
      <c r="F51" s="25"/>
      <c r="G51" s="25"/>
      <c r="H51" s="25"/>
      <c r="I51" s="32"/>
      <c r="J51" s="32"/>
      <c r="K51" s="34" t="str">
        <f t="shared" si="0"/>
        <v/>
      </c>
      <c r="L51" s="35" t="str">
        <f>IF($E51="","",IFERROR(INDEX(계정과목!$B$6:$B$58,MATCH($E51,계정과목!$A$6:$A$58,0)),"미등록"))</f>
        <v/>
      </c>
      <c r="M51" s="34" t="str">
        <f>IF($E51="","",IFERROR(INDEX(계정과목!$C$6:$C$58,MATCH($E51,계정과목!$A$6:$A$58,0)),""))</f>
        <v/>
      </c>
      <c r="N51" s="34" t="str">
        <f>IF($E51="","",IFERROR(INDEX(계정과목!$D$6:$D$58,MATCH($E51,계정과목!$A$6:$A$58,0)),""))</f>
        <v/>
      </c>
      <c r="O51" s="34" t="str">
        <f>IF($E51="","",IF(COUNTIF(계정과목!$A$6:$A$58,$E51)=0,"미등록","정상"))</f>
        <v/>
      </c>
      <c r="P51" s="36" t="str">
        <f>IF($A51="","",ROUND(SUMIFS(전표!$F$7:$F$282,전표!$A$7:$A$282,$A51)-SUMIFS(전표!$G$7:$G$282,전표!$A$7:$A$282,$A51),0))</f>
        <v/>
      </c>
      <c r="Q51" s="10">
        <f t="shared" si="3"/>
        <v>0</v>
      </c>
      <c r="R51" t="str">
        <f t="shared" si="2"/>
        <v/>
      </c>
    </row>
    <row r="52" spans="1:18" ht="20" customHeight="1">
      <c r="A52" s="29"/>
      <c r="B52" s="31"/>
      <c r="C52" s="26"/>
      <c r="D52" s="33"/>
      <c r="E52" s="26"/>
      <c r="F52" s="27"/>
      <c r="G52" s="27"/>
      <c r="H52" s="27"/>
      <c r="I52" s="33"/>
      <c r="J52" s="33"/>
      <c r="K52" s="34" t="str">
        <f t="shared" si="0"/>
        <v/>
      </c>
      <c r="L52" s="35" t="str">
        <f>IF($E52="","",IFERROR(INDEX(계정과목!$B$6:$B$58,MATCH($E52,계정과목!$A$6:$A$58,0)),"미등록"))</f>
        <v/>
      </c>
      <c r="M52" s="34" t="str">
        <f>IF($E52="","",IFERROR(INDEX(계정과목!$C$6:$C$58,MATCH($E52,계정과목!$A$6:$A$58,0)),""))</f>
        <v/>
      </c>
      <c r="N52" s="34" t="str">
        <f>IF($E52="","",IFERROR(INDEX(계정과목!$D$6:$D$58,MATCH($E52,계정과목!$A$6:$A$58,0)),""))</f>
        <v/>
      </c>
      <c r="O52" s="34" t="str">
        <f>IF($E52="","",IF(COUNTIF(계정과목!$A$6:$A$58,$E52)=0,"미등록","정상"))</f>
        <v/>
      </c>
      <c r="P52" s="36" t="str">
        <f>IF($A52="","",ROUND(SUMIFS(전표!$F$7:$F$282,전표!$A$7:$A$282,$A52)-SUMIFS(전표!$G$7:$G$282,전표!$A$7:$A$282,$A52),0))</f>
        <v/>
      </c>
      <c r="Q52" s="10">
        <f t="shared" si="3"/>
        <v>0</v>
      </c>
      <c r="R52" t="str">
        <f t="shared" si="2"/>
        <v/>
      </c>
    </row>
    <row r="53" spans="1:18" ht="20" customHeight="1">
      <c r="A53" s="29"/>
      <c r="B53" s="31"/>
      <c r="C53" s="26"/>
      <c r="D53" s="33"/>
      <c r="E53" s="26"/>
      <c r="F53" s="27"/>
      <c r="G53" s="27"/>
      <c r="H53" s="27"/>
      <c r="I53" s="33"/>
      <c r="J53" s="33"/>
      <c r="K53" s="34" t="str">
        <f t="shared" si="0"/>
        <v/>
      </c>
      <c r="L53" s="35" t="str">
        <f>IF($E53="","",IFERROR(INDEX(계정과목!$B$6:$B$58,MATCH($E53,계정과목!$A$6:$A$58,0)),"미등록"))</f>
        <v/>
      </c>
      <c r="M53" s="34" t="str">
        <f>IF($E53="","",IFERROR(INDEX(계정과목!$C$6:$C$58,MATCH($E53,계정과목!$A$6:$A$58,0)),""))</f>
        <v/>
      </c>
      <c r="N53" s="34" t="str">
        <f>IF($E53="","",IFERROR(INDEX(계정과목!$D$6:$D$58,MATCH($E53,계정과목!$A$6:$A$58,0)),""))</f>
        <v/>
      </c>
      <c r="O53" s="34" t="str">
        <f>IF($E53="","",IF(COUNTIF(계정과목!$A$6:$A$58,$E53)=0,"미등록","정상"))</f>
        <v/>
      </c>
      <c r="P53" s="36" t="str">
        <f>IF($A53="","",ROUND(SUMIFS(전표!$F$7:$F$282,전표!$A$7:$A$282,$A53)-SUMIFS(전표!$G$7:$G$282,전표!$A$7:$A$282,$A53),0))</f>
        <v/>
      </c>
      <c r="Q53" s="10">
        <f t="shared" si="3"/>
        <v>0</v>
      </c>
      <c r="R53" t="str">
        <f t="shared" si="2"/>
        <v/>
      </c>
    </row>
    <row r="54" spans="1:18" ht="20" customHeight="1">
      <c r="A54" s="29"/>
      <c r="B54" s="31"/>
      <c r="C54" s="26"/>
      <c r="D54" s="33"/>
      <c r="E54" s="26"/>
      <c r="F54" s="27"/>
      <c r="G54" s="27"/>
      <c r="H54" s="27"/>
      <c r="I54" s="33"/>
      <c r="J54" s="33"/>
      <c r="K54" s="34" t="str">
        <f t="shared" si="0"/>
        <v/>
      </c>
      <c r="L54" s="35" t="str">
        <f>IF($E54="","",IFERROR(INDEX(계정과목!$B$6:$B$58,MATCH($E54,계정과목!$A$6:$A$58,0)),"미등록"))</f>
        <v/>
      </c>
      <c r="M54" s="34" t="str">
        <f>IF($E54="","",IFERROR(INDEX(계정과목!$C$6:$C$58,MATCH($E54,계정과목!$A$6:$A$58,0)),""))</f>
        <v/>
      </c>
      <c r="N54" s="34" t="str">
        <f>IF($E54="","",IFERROR(INDEX(계정과목!$D$6:$D$58,MATCH($E54,계정과목!$A$6:$A$58,0)),""))</f>
        <v/>
      </c>
      <c r="O54" s="34" t="str">
        <f>IF($E54="","",IF(COUNTIF(계정과목!$A$6:$A$58,$E54)=0,"미등록","정상"))</f>
        <v/>
      </c>
      <c r="P54" s="36" t="str">
        <f>IF($A54="","",ROUND(SUMIFS(전표!$F$7:$F$282,전표!$A$7:$A$282,$A54)-SUMIFS(전표!$G$7:$G$282,전표!$A$7:$A$282,$A54),0))</f>
        <v/>
      </c>
      <c r="Q54" s="10">
        <f t="shared" si="3"/>
        <v>0</v>
      </c>
      <c r="R54" t="str">
        <f t="shared" si="2"/>
        <v/>
      </c>
    </row>
    <row r="55" spans="1:18" ht="20" customHeight="1">
      <c r="A55" s="29"/>
      <c r="B55" s="31"/>
      <c r="C55" s="26"/>
      <c r="D55" s="33"/>
      <c r="E55" s="26"/>
      <c r="F55" s="27"/>
      <c r="G55" s="27"/>
      <c r="H55" s="27"/>
      <c r="I55" s="33"/>
      <c r="J55" s="33"/>
      <c r="K55" s="34" t="str">
        <f t="shared" si="0"/>
        <v/>
      </c>
      <c r="L55" s="35" t="str">
        <f>IF($E55="","",IFERROR(INDEX(계정과목!$B$6:$B$58,MATCH($E55,계정과목!$A$6:$A$58,0)),"미등록"))</f>
        <v/>
      </c>
      <c r="M55" s="34" t="str">
        <f>IF($E55="","",IFERROR(INDEX(계정과목!$C$6:$C$58,MATCH($E55,계정과목!$A$6:$A$58,0)),""))</f>
        <v/>
      </c>
      <c r="N55" s="34" t="str">
        <f>IF($E55="","",IFERROR(INDEX(계정과목!$D$6:$D$58,MATCH($E55,계정과목!$A$6:$A$58,0)),""))</f>
        <v/>
      </c>
      <c r="O55" s="34" t="str">
        <f>IF($E55="","",IF(COUNTIF(계정과목!$A$6:$A$58,$E55)=0,"미등록","정상"))</f>
        <v/>
      </c>
      <c r="P55" s="36" t="str">
        <f>IF($A55="","",ROUND(SUMIFS(전표!$F$7:$F$282,전표!$A$7:$A$282,$A55)-SUMIFS(전표!$G$7:$G$282,전표!$A$7:$A$282,$A55),0))</f>
        <v/>
      </c>
      <c r="Q55" s="10">
        <f t="shared" si="3"/>
        <v>0</v>
      </c>
      <c r="R55" t="str">
        <f t="shared" si="2"/>
        <v/>
      </c>
    </row>
    <row r="56" spans="1:18" ht="20" customHeight="1">
      <c r="A56" s="29"/>
      <c r="B56" s="31"/>
      <c r="C56" s="26"/>
      <c r="D56" s="33"/>
      <c r="E56" s="26"/>
      <c r="F56" s="27"/>
      <c r="G56" s="27"/>
      <c r="H56" s="27"/>
      <c r="I56" s="33"/>
      <c r="J56" s="33"/>
      <c r="K56" s="34" t="str">
        <f t="shared" si="0"/>
        <v/>
      </c>
      <c r="L56" s="35" t="str">
        <f>IF($E56="","",IFERROR(INDEX(계정과목!$B$6:$B$58,MATCH($E56,계정과목!$A$6:$A$58,0)),"미등록"))</f>
        <v/>
      </c>
      <c r="M56" s="34" t="str">
        <f>IF($E56="","",IFERROR(INDEX(계정과목!$C$6:$C$58,MATCH($E56,계정과목!$A$6:$A$58,0)),""))</f>
        <v/>
      </c>
      <c r="N56" s="34" t="str">
        <f>IF($E56="","",IFERROR(INDEX(계정과목!$D$6:$D$58,MATCH($E56,계정과목!$A$6:$A$58,0)),""))</f>
        <v/>
      </c>
      <c r="O56" s="34" t="str">
        <f>IF($E56="","",IF(COUNTIF(계정과목!$A$6:$A$58,$E56)=0,"미등록","정상"))</f>
        <v/>
      </c>
      <c r="P56" s="36" t="str">
        <f>IF($A56="","",ROUND(SUMIFS(전표!$F$7:$F$282,전표!$A$7:$A$282,$A56)-SUMIFS(전표!$G$7:$G$282,전표!$A$7:$A$282,$A56),0))</f>
        <v/>
      </c>
      <c r="Q56" s="10">
        <f t="shared" si="3"/>
        <v>0</v>
      </c>
      <c r="R56" t="str">
        <f t="shared" si="2"/>
        <v/>
      </c>
    </row>
    <row r="57" spans="1:18" ht="20" customHeight="1">
      <c r="A57" s="29"/>
      <c r="B57" s="31"/>
      <c r="C57" s="26"/>
      <c r="D57" s="33"/>
      <c r="E57" s="26"/>
      <c r="F57" s="27"/>
      <c r="G57" s="27"/>
      <c r="H57" s="27"/>
      <c r="I57" s="33"/>
      <c r="J57" s="33"/>
      <c r="K57" s="34" t="str">
        <f t="shared" si="0"/>
        <v/>
      </c>
      <c r="L57" s="35" t="str">
        <f>IF($E57="","",IFERROR(INDEX(계정과목!$B$6:$B$58,MATCH($E57,계정과목!$A$6:$A$58,0)),"미등록"))</f>
        <v/>
      </c>
      <c r="M57" s="34" t="str">
        <f>IF($E57="","",IFERROR(INDEX(계정과목!$C$6:$C$58,MATCH($E57,계정과목!$A$6:$A$58,0)),""))</f>
        <v/>
      </c>
      <c r="N57" s="34" t="str">
        <f>IF($E57="","",IFERROR(INDEX(계정과목!$D$6:$D$58,MATCH($E57,계정과목!$A$6:$A$58,0)),""))</f>
        <v/>
      </c>
      <c r="O57" s="34" t="str">
        <f>IF($E57="","",IF(COUNTIF(계정과목!$A$6:$A$58,$E57)=0,"미등록","정상"))</f>
        <v/>
      </c>
      <c r="P57" s="36" t="str">
        <f>IF($A57="","",ROUND(SUMIFS(전표!$F$7:$F$282,전표!$A$7:$A$282,$A57)-SUMIFS(전표!$G$7:$G$282,전표!$A$7:$A$282,$A57),0))</f>
        <v/>
      </c>
      <c r="Q57" s="10">
        <f t="shared" si="3"/>
        <v>0</v>
      </c>
      <c r="R57" t="str">
        <f t="shared" si="2"/>
        <v/>
      </c>
    </row>
    <row r="58" spans="1:18" ht="20" customHeight="1">
      <c r="A58" s="29"/>
      <c r="B58" s="31"/>
      <c r="C58" s="26"/>
      <c r="D58" s="33"/>
      <c r="E58" s="26"/>
      <c r="F58" s="27"/>
      <c r="G58" s="27"/>
      <c r="H58" s="27"/>
      <c r="I58" s="33"/>
      <c r="J58" s="33"/>
      <c r="K58" s="34" t="str">
        <f t="shared" si="0"/>
        <v/>
      </c>
      <c r="L58" s="35" t="str">
        <f>IF($E58="","",IFERROR(INDEX(계정과목!$B$6:$B$58,MATCH($E58,계정과목!$A$6:$A$58,0)),"미등록"))</f>
        <v/>
      </c>
      <c r="M58" s="34" t="str">
        <f>IF($E58="","",IFERROR(INDEX(계정과목!$C$6:$C$58,MATCH($E58,계정과목!$A$6:$A$58,0)),""))</f>
        <v/>
      </c>
      <c r="N58" s="34" t="str">
        <f>IF($E58="","",IFERROR(INDEX(계정과목!$D$6:$D$58,MATCH($E58,계정과목!$A$6:$A$58,0)),""))</f>
        <v/>
      </c>
      <c r="O58" s="34" t="str">
        <f>IF($E58="","",IF(COUNTIF(계정과목!$A$6:$A$58,$E58)=0,"미등록","정상"))</f>
        <v/>
      </c>
      <c r="P58" s="36" t="str">
        <f>IF($A58="","",ROUND(SUMIFS(전표!$F$7:$F$282,전표!$A$7:$A$282,$A58)-SUMIFS(전표!$G$7:$G$282,전표!$A$7:$A$282,$A58),0))</f>
        <v/>
      </c>
      <c r="Q58" s="10">
        <f t="shared" si="3"/>
        <v>0</v>
      </c>
      <c r="R58" t="str">
        <f t="shared" si="2"/>
        <v/>
      </c>
    </row>
    <row r="59" spans="1:18" ht="20" customHeight="1">
      <c r="A59" s="29"/>
      <c r="B59" s="31"/>
      <c r="C59" s="26"/>
      <c r="D59" s="33"/>
      <c r="E59" s="26"/>
      <c r="F59" s="27"/>
      <c r="G59" s="27"/>
      <c r="H59" s="27"/>
      <c r="I59" s="33"/>
      <c r="J59" s="33"/>
      <c r="K59" s="34" t="str">
        <f t="shared" si="0"/>
        <v/>
      </c>
      <c r="L59" s="35" t="str">
        <f>IF($E59="","",IFERROR(INDEX(계정과목!$B$6:$B$58,MATCH($E59,계정과목!$A$6:$A$58,0)),"미등록"))</f>
        <v/>
      </c>
      <c r="M59" s="34" t="str">
        <f>IF($E59="","",IFERROR(INDEX(계정과목!$C$6:$C$58,MATCH($E59,계정과목!$A$6:$A$58,0)),""))</f>
        <v/>
      </c>
      <c r="N59" s="34" t="str">
        <f>IF($E59="","",IFERROR(INDEX(계정과목!$D$6:$D$58,MATCH($E59,계정과목!$A$6:$A$58,0)),""))</f>
        <v/>
      </c>
      <c r="O59" s="34" t="str">
        <f>IF($E59="","",IF(COUNTIF(계정과목!$A$6:$A$58,$E59)=0,"미등록","정상"))</f>
        <v/>
      </c>
      <c r="P59" s="36" t="str">
        <f>IF($A59="","",ROUND(SUMIFS(전표!$F$7:$F$282,전표!$A$7:$A$282,$A59)-SUMIFS(전표!$G$7:$G$282,전표!$A$7:$A$282,$A59),0))</f>
        <v/>
      </c>
      <c r="Q59" s="10">
        <f t="shared" si="3"/>
        <v>0</v>
      </c>
      <c r="R59" t="str">
        <f t="shared" si="2"/>
        <v/>
      </c>
    </row>
    <row r="60" spans="1:18" ht="20" customHeight="1">
      <c r="A60" s="29"/>
      <c r="B60" s="31"/>
      <c r="C60" s="26"/>
      <c r="D60" s="33"/>
      <c r="E60" s="26"/>
      <c r="F60" s="27"/>
      <c r="G60" s="27"/>
      <c r="H60" s="27"/>
      <c r="I60" s="33"/>
      <c r="J60" s="33"/>
      <c r="K60" s="34" t="str">
        <f t="shared" si="0"/>
        <v/>
      </c>
      <c r="L60" s="35" t="str">
        <f>IF($E60="","",IFERROR(INDEX(계정과목!$B$6:$B$58,MATCH($E60,계정과목!$A$6:$A$58,0)),"미등록"))</f>
        <v/>
      </c>
      <c r="M60" s="34" t="str">
        <f>IF($E60="","",IFERROR(INDEX(계정과목!$C$6:$C$58,MATCH($E60,계정과목!$A$6:$A$58,0)),""))</f>
        <v/>
      </c>
      <c r="N60" s="34" t="str">
        <f>IF($E60="","",IFERROR(INDEX(계정과목!$D$6:$D$58,MATCH($E60,계정과목!$A$6:$A$58,0)),""))</f>
        <v/>
      </c>
      <c r="O60" s="34" t="str">
        <f>IF($E60="","",IF(COUNTIF(계정과목!$A$6:$A$58,$E60)=0,"미등록","정상"))</f>
        <v/>
      </c>
      <c r="P60" s="36" t="str">
        <f>IF($A60="","",ROUND(SUMIFS(전표!$F$7:$F$282,전표!$A$7:$A$282,$A60)-SUMIFS(전표!$G$7:$G$282,전표!$A$7:$A$282,$A60),0))</f>
        <v/>
      </c>
      <c r="Q60" s="10">
        <f t="shared" si="3"/>
        <v>0</v>
      </c>
      <c r="R60" t="str">
        <f t="shared" si="2"/>
        <v/>
      </c>
    </row>
    <row r="61" spans="1:18" ht="20" customHeight="1">
      <c r="A61" s="29"/>
      <c r="B61" s="31"/>
      <c r="C61" s="26"/>
      <c r="D61" s="33"/>
      <c r="E61" s="26"/>
      <c r="F61" s="27"/>
      <c r="G61" s="27"/>
      <c r="H61" s="27"/>
      <c r="I61" s="33"/>
      <c r="J61" s="33"/>
      <c r="K61" s="34" t="str">
        <f t="shared" si="0"/>
        <v/>
      </c>
      <c r="L61" s="35" t="str">
        <f>IF($E61="","",IFERROR(INDEX(계정과목!$B$6:$B$58,MATCH($E61,계정과목!$A$6:$A$58,0)),"미등록"))</f>
        <v/>
      </c>
      <c r="M61" s="34" t="str">
        <f>IF($E61="","",IFERROR(INDEX(계정과목!$C$6:$C$58,MATCH($E61,계정과목!$A$6:$A$58,0)),""))</f>
        <v/>
      </c>
      <c r="N61" s="34" t="str">
        <f>IF($E61="","",IFERROR(INDEX(계정과목!$D$6:$D$58,MATCH($E61,계정과목!$A$6:$A$58,0)),""))</f>
        <v/>
      </c>
      <c r="O61" s="34" t="str">
        <f>IF($E61="","",IF(COUNTIF(계정과목!$A$6:$A$58,$E61)=0,"미등록","정상"))</f>
        <v/>
      </c>
      <c r="P61" s="36" t="str">
        <f>IF($A61="","",ROUND(SUMIFS(전표!$F$7:$F$282,전표!$A$7:$A$282,$A61)-SUMIFS(전표!$G$7:$G$282,전표!$A$7:$A$282,$A61),0))</f>
        <v/>
      </c>
      <c r="Q61" s="10">
        <f t="shared" si="3"/>
        <v>0</v>
      </c>
      <c r="R61" t="str">
        <f t="shared" si="2"/>
        <v/>
      </c>
    </row>
    <row r="62" spans="1:18" ht="20" customHeight="1">
      <c r="A62" s="29"/>
      <c r="B62" s="31"/>
      <c r="C62" s="26"/>
      <c r="D62" s="33"/>
      <c r="E62" s="26"/>
      <c r="F62" s="27"/>
      <c r="G62" s="27"/>
      <c r="H62" s="27"/>
      <c r="I62" s="33"/>
      <c r="J62" s="33"/>
      <c r="K62" s="34" t="str">
        <f t="shared" si="0"/>
        <v/>
      </c>
      <c r="L62" s="35" t="str">
        <f>IF($E62="","",IFERROR(INDEX(계정과목!$B$6:$B$58,MATCH($E62,계정과목!$A$6:$A$58,0)),"미등록"))</f>
        <v/>
      </c>
      <c r="M62" s="34" t="str">
        <f>IF($E62="","",IFERROR(INDEX(계정과목!$C$6:$C$58,MATCH($E62,계정과목!$A$6:$A$58,0)),""))</f>
        <v/>
      </c>
      <c r="N62" s="34" t="str">
        <f>IF($E62="","",IFERROR(INDEX(계정과목!$D$6:$D$58,MATCH($E62,계정과목!$A$6:$A$58,0)),""))</f>
        <v/>
      </c>
      <c r="O62" s="34" t="str">
        <f>IF($E62="","",IF(COUNTIF(계정과목!$A$6:$A$58,$E62)=0,"미등록","정상"))</f>
        <v/>
      </c>
      <c r="P62" s="36" t="str">
        <f>IF($A62="","",ROUND(SUMIFS(전표!$F$7:$F$282,전표!$A$7:$A$282,$A62)-SUMIFS(전표!$G$7:$G$282,전표!$A$7:$A$282,$A62),0))</f>
        <v/>
      </c>
      <c r="Q62" s="10">
        <f t="shared" si="3"/>
        <v>0</v>
      </c>
      <c r="R62" t="str">
        <f t="shared" si="2"/>
        <v/>
      </c>
    </row>
    <row r="63" spans="1:18" ht="20" customHeight="1">
      <c r="A63" s="29"/>
      <c r="B63" s="31"/>
      <c r="C63" s="26"/>
      <c r="D63" s="33"/>
      <c r="E63" s="26"/>
      <c r="F63" s="27"/>
      <c r="G63" s="27"/>
      <c r="H63" s="27"/>
      <c r="I63" s="33"/>
      <c r="J63" s="33"/>
      <c r="K63" s="34" t="str">
        <f t="shared" si="0"/>
        <v/>
      </c>
      <c r="L63" s="35" t="str">
        <f>IF($E63="","",IFERROR(INDEX(계정과목!$B$6:$B$58,MATCH($E63,계정과목!$A$6:$A$58,0)),"미등록"))</f>
        <v/>
      </c>
      <c r="M63" s="34" t="str">
        <f>IF($E63="","",IFERROR(INDEX(계정과목!$C$6:$C$58,MATCH($E63,계정과목!$A$6:$A$58,0)),""))</f>
        <v/>
      </c>
      <c r="N63" s="34" t="str">
        <f>IF($E63="","",IFERROR(INDEX(계정과목!$D$6:$D$58,MATCH($E63,계정과목!$A$6:$A$58,0)),""))</f>
        <v/>
      </c>
      <c r="O63" s="34" t="str">
        <f>IF($E63="","",IF(COUNTIF(계정과목!$A$6:$A$58,$E63)=0,"미등록","정상"))</f>
        <v/>
      </c>
      <c r="P63" s="36" t="str">
        <f>IF($A63="","",ROUND(SUMIFS(전표!$F$7:$F$282,전표!$A$7:$A$282,$A63)-SUMIFS(전표!$G$7:$G$282,전표!$A$7:$A$282,$A63),0))</f>
        <v/>
      </c>
      <c r="Q63" s="10">
        <f t="shared" si="3"/>
        <v>0</v>
      </c>
      <c r="R63" t="str">
        <f t="shared" si="2"/>
        <v/>
      </c>
    </row>
    <row r="64" spans="1:18" ht="20" customHeight="1">
      <c r="A64" s="29"/>
      <c r="B64" s="31"/>
      <c r="C64" s="26"/>
      <c r="D64" s="33"/>
      <c r="E64" s="26"/>
      <c r="F64" s="27"/>
      <c r="G64" s="27"/>
      <c r="H64" s="27"/>
      <c r="I64" s="33"/>
      <c r="J64" s="33"/>
      <c r="K64" s="34" t="str">
        <f t="shared" si="0"/>
        <v/>
      </c>
      <c r="L64" s="35" t="str">
        <f>IF($E64="","",IFERROR(INDEX(계정과목!$B$6:$B$58,MATCH($E64,계정과목!$A$6:$A$58,0)),"미등록"))</f>
        <v/>
      </c>
      <c r="M64" s="34" t="str">
        <f>IF($E64="","",IFERROR(INDEX(계정과목!$C$6:$C$58,MATCH($E64,계정과목!$A$6:$A$58,0)),""))</f>
        <v/>
      </c>
      <c r="N64" s="34" t="str">
        <f>IF($E64="","",IFERROR(INDEX(계정과목!$D$6:$D$58,MATCH($E64,계정과목!$A$6:$A$58,0)),""))</f>
        <v/>
      </c>
      <c r="O64" s="34" t="str">
        <f>IF($E64="","",IF(COUNTIF(계정과목!$A$6:$A$58,$E64)=0,"미등록","정상"))</f>
        <v/>
      </c>
      <c r="P64" s="36" t="str">
        <f>IF($A64="","",ROUND(SUMIFS(전표!$F$7:$F$282,전표!$A$7:$A$282,$A64)-SUMIFS(전표!$G$7:$G$282,전표!$A$7:$A$282,$A64),0))</f>
        <v/>
      </c>
      <c r="Q64" s="10">
        <f t="shared" si="3"/>
        <v>0</v>
      </c>
      <c r="R64" t="str">
        <f t="shared" si="2"/>
        <v/>
      </c>
    </row>
    <row r="65" spans="1:18" ht="20" customHeight="1">
      <c r="A65" s="29"/>
      <c r="B65" s="31"/>
      <c r="C65" s="26"/>
      <c r="D65" s="33"/>
      <c r="E65" s="26"/>
      <c r="F65" s="27"/>
      <c r="G65" s="27"/>
      <c r="H65" s="27"/>
      <c r="I65" s="33"/>
      <c r="J65" s="33"/>
      <c r="K65" s="34" t="str">
        <f t="shared" si="0"/>
        <v/>
      </c>
      <c r="L65" s="35" t="str">
        <f>IF($E65="","",IFERROR(INDEX(계정과목!$B$6:$B$58,MATCH($E65,계정과목!$A$6:$A$58,0)),"미등록"))</f>
        <v/>
      </c>
      <c r="M65" s="34" t="str">
        <f>IF($E65="","",IFERROR(INDEX(계정과목!$C$6:$C$58,MATCH($E65,계정과목!$A$6:$A$58,0)),""))</f>
        <v/>
      </c>
      <c r="N65" s="34" t="str">
        <f>IF($E65="","",IFERROR(INDEX(계정과목!$D$6:$D$58,MATCH($E65,계정과목!$A$6:$A$58,0)),""))</f>
        <v/>
      </c>
      <c r="O65" s="34" t="str">
        <f>IF($E65="","",IF(COUNTIF(계정과목!$A$6:$A$58,$E65)=0,"미등록","정상"))</f>
        <v/>
      </c>
      <c r="P65" s="36" t="str">
        <f>IF($A65="","",ROUND(SUMIFS(전표!$F$7:$F$282,전표!$A$7:$A$282,$A65)-SUMIFS(전표!$G$7:$G$282,전표!$A$7:$A$282,$A65),0))</f>
        <v/>
      </c>
      <c r="Q65" s="10">
        <f t="shared" si="3"/>
        <v>0</v>
      </c>
      <c r="R65" t="str">
        <f t="shared" si="2"/>
        <v/>
      </c>
    </row>
    <row r="66" spans="1:18" ht="20" customHeight="1">
      <c r="A66" s="29"/>
      <c r="B66" s="31"/>
      <c r="C66" s="26"/>
      <c r="D66" s="33"/>
      <c r="E66" s="26"/>
      <c r="F66" s="27"/>
      <c r="G66" s="27"/>
      <c r="H66" s="27"/>
      <c r="I66" s="33"/>
      <c r="J66" s="33"/>
      <c r="K66" s="34" t="str">
        <f t="shared" si="0"/>
        <v/>
      </c>
      <c r="L66" s="35" t="str">
        <f>IF($E66="","",IFERROR(INDEX(계정과목!$B$6:$B$58,MATCH($E66,계정과목!$A$6:$A$58,0)),"미등록"))</f>
        <v/>
      </c>
      <c r="M66" s="34" t="str">
        <f>IF($E66="","",IFERROR(INDEX(계정과목!$C$6:$C$58,MATCH($E66,계정과목!$A$6:$A$58,0)),""))</f>
        <v/>
      </c>
      <c r="N66" s="34" t="str">
        <f>IF($E66="","",IFERROR(INDEX(계정과목!$D$6:$D$58,MATCH($E66,계정과목!$A$6:$A$58,0)),""))</f>
        <v/>
      </c>
      <c r="O66" s="34" t="str">
        <f>IF($E66="","",IF(COUNTIF(계정과목!$A$6:$A$58,$E66)=0,"미등록","정상"))</f>
        <v/>
      </c>
      <c r="P66" s="36" t="str">
        <f>IF($A66="","",ROUND(SUMIFS(전표!$F$7:$F$282,전표!$A$7:$A$282,$A66)-SUMIFS(전표!$G$7:$G$282,전표!$A$7:$A$282,$A66),0))</f>
        <v/>
      </c>
      <c r="Q66" s="10">
        <f t="shared" si="3"/>
        <v>0</v>
      </c>
      <c r="R66" t="str">
        <f t="shared" si="2"/>
        <v/>
      </c>
    </row>
    <row r="67" spans="1:18" ht="20" customHeight="1">
      <c r="A67" s="29"/>
      <c r="B67" s="31"/>
      <c r="C67" s="26"/>
      <c r="D67" s="33"/>
      <c r="E67" s="26"/>
      <c r="F67" s="27"/>
      <c r="G67" s="27"/>
      <c r="H67" s="27"/>
      <c r="I67" s="33"/>
      <c r="J67" s="33"/>
      <c r="K67" s="34" t="str">
        <f t="shared" si="0"/>
        <v/>
      </c>
      <c r="L67" s="35" t="str">
        <f>IF($E67="","",IFERROR(INDEX(계정과목!$B$6:$B$58,MATCH($E67,계정과목!$A$6:$A$58,0)),"미등록"))</f>
        <v/>
      </c>
      <c r="M67" s="34" t="str">
        <f>IF($E67="","",IFERROR(INDEX(계정과목!$C$6:$C$58,MATCH($E67,계정과목!$A$6:$A$58,0)),""))</f>
        <v/>
      </c>
      <c r="N67" s="34" t="str">
        <f>IF($E67="","",IFERROR(INDEX(계정과목!$D$6:$D$58,MATCH($E67,계정과목!$A$6:$A$58,0)),""))</f>
        <v/>
      </c>
      <c r="O67" s="34" t="str">
        <f>IF($E67="","",IF(COUNTIF(계정과목!$A$6:$A$58,$E67)=0,"미등록","정상"))</f>
        <v/>
      </c>
      <c r="P67" s="36" t="str">
        <f>IF($A67="","",ROUND(SUMIFS(전표!$F$7:$F$282,전표!$A$7:$A$282,$A67)-SUMIFS(전표!$G$7:$G$282,전표!$A$7:$A$282,$A67),0))</f>
        <v/>
      </c>
      <c r="Q67" s="10">
        <f t="shared" si="3"/>
        <v>0</v>
      </c>
      <c r="R67" t="str">
        <f t="shared" si="2"/>
        <v/>
      </c>
    </row>
    <row r="68" spans="1:18" ht="20" customHeight="1">
      <c r="A68" s="29"/>
      <c r="B68" s="31"/>
      <c r="C68" s="26"/>
      <c r="D68" s="33"/>
      <c r="E68" s="26"/>
      <c r="F68" s="27"/>
      <c r="G68" s="27"/>
      <c r="H68" s="27"/>
      <c r="I68" s="33"/>
      <c r="J68" s="33"/>
      <c r="K68" s="34" t="str">
        <f t="shared" si="0"/>
        <v/>
      </c>
      <c r="L68" s="35" t="str">
        <f>IF($E68="","",IFERROR(INDEX(계정과목!$B$6:$B$58,MATCH($E68,계정과목!$A$6:$A$58,0)),"미등록"))</f>
        <v/>
      </c>
      <c r="M68" s="34" t="str">
        <f>IF($E68="","",IFERROR(INDEX(계정과목!$C$6:$C$58,MATCH($E68,계정과목!$A$6:$A$58,0)),""))</f>
        <v/>
      </c>
      <c r="N68" s="34" t="str">
        <f>IF($E68="","",IFERROR(INDEX(계정과목!$D$6:$D$58,MATCH($E68,계정과목!$A$6:$A$58,0)),""))</f>
        <v/>
      </c>
      <c r="O68" s="34" t="str">
        <f>IF($E68="","",IF(COUNTIF(계정과목!$A$6:$A$58,$E68)=0,"미등록","정상"))</f>
        <v/>
      </c>
      <c r="P68" s="36" t="str">
        <f>IF($A68="","",ROUND(SUMIFS(전표!$F$7:$F$282,전표!$A$7:$A$282,$A68)-SUMIFS(전표!$G$7:$G$282,전표!$A$7:$A$282,$A68),0))</f>
        <v/>
      </c>
      <c r="Q68" s="10">
        <f t="shared" si="3"/>
        <v>0</v>
      </c>
      <c r="R68" t="str">
        <f t="shared" si="2"/>
        <v/>
      </c>
    </row>
    <row r="69" spans="1:18" ht="20" customHeight="1">
      <c r="A69" s="29"/>
      <c r="B69" s="31"/>
      <c r="C69" s="26"/>
      <c r="D69" s="33"/>
      <c r="E69" s="26"/>
      <c r="F69" s="27"/>
      <c r="G69" s="27"/>
      <c r="H69" s="27"/>
      <c r="I69" s="33"/>
      <c r="J69" s="33"/>
      <c r="K69" s="34" t="str">
        <f t="shared" si="0"/>
        <v/>
      </c>
      <c r="L69" s="35" t="str">
        <f>IF($E69="","",IFERROR(INDEX(계정과목!$B$6:$B$58,MATCH($E69,계정과목!$A$6:$A$58,0)),"미등록"))</f>
        <v/>
      </c>
      <c r="M69" s="34" t="str">
        <f>IF($E69="","",IFERROR(INDEX(계정과목!$C$6:$C$58,MATCH($E69,계정과목!$A$6:$A$58,0)),""))</f>
        <v/>
      </c>
      <c r="N69" s="34" t="str">
        <f>IF($E69="","",IFERROR(INDEX(계정과목!$D$6:$D$58,MATCH($E69,계정과목!$A$6:$A$58,0)),""))</f>
        <v/>
      </c>
      <c r="O69" s="34" t="str">
        <f>IF($E69="","",IF(COUNTIF(계정과목!$A$6:$A$58,$E69)=0,"미등록","정상"))</f>
        <v/>
      </c>
      <c r="P69" s="36" t="str">
        <f>IF($A69="","",ROUND(SUMIFS(전표!$F$7:$F$282,전표!$A$7:$A$282,$A69)-SUMIFS(전표!$G$7:$G$282,전표!$A$7:$A$282,$A69),0))</f>
        <v/>
      </c>
      <c r="Q69" s="10">
        <f t="shared" si="3"/>
        <v>0</v>
      </c>
      <c r="R69" t="str">
        <f t="shared" si="2"/>
        <v/>
      </c>
    </row>
    <row r="70" spans="1:18" ht="20" customHeight="1">
      <c r="A70" s="29"/>
      <c r="B70" s="31"/>
      <c r="C70" s="26"/>
      <c r="D70" s="33"/>
      <c r="E70" s="26"/>
      <c r="F70" s="27"/>
      <c r="G70" s="27"/>
      <c r="H70" s="27"/>
      <c r="I70" s="33"/>
      <c r="J70" s="33"/>
      <c r="K70" s="34" t="str">
        <f t="shared" si="0"/>
        <v/>
      </c>
      <c r="L70" s="35" t="str">
        <f>IF($E70="","",IFERROR(INDEX(계정과목!$B$6:$B$58,MATCH($E70,계정과목!$A$6:$A$58,0)),"미등록"))</f>
        <v/>
      </c>
      <c r="M70" s="34" t="str">
        <f>IF($E70="","",IFERROR(INDEX(계정과목!$C$6:$C$58,MATCH($E70,계정과목!$A$6:$A$58,0)),""))</f>
        <v/>
      </c>
      <c r="N70" s="34" t="str">
        <f>IF($E70="","",IFERROR(INDEX(계정과목!$D$6:$D$58,MATCH($E70,계정과목!$A$6:$A$58,0)),""))</f>
        <v/>
      </c>
      <c r="O70" s="34" t="str">
        <f>IF($E70="","",IF(COUNTIF(계정과목!$A$6:$A$58,$E70)=0,"미등록","정상"))</f>
        <v/>
      </c>
      <c r="P70" s="36" t="str">
        <f>IF($A70="","",ROUND(SUMIFS(전표!$F$7:$F$282,전표!$A$7:$A$282,$A70)-SUMIFS(전표!$G$7:$G$282,전표!$A$7:$A$282,$A70),0))</f>
        <v/>
      </c>
      <c r="Q70" s="10">
        <f t="shared" si="3"/>
        <v>0</v>
      </c>
      <c r="R70" t="str">
        <f t="shared" si="2"/>
        <v/>
      </c>
    </row>
    <row r="71" spans="1:18" ht="20" customHeight="1">
      <c r="A71" s="29"/>
      <c r="B71" s="31"/>
      <c r="C71" s="26"/>
      <c r="D71" s="33"/>
      <c r="E71" s="26"/>
      <c r="F71" s="27"/>
      <c r="G71" s="27"/>
      <c r="H71" s="27"/>
      <c r="I71" s="33"/>
      <c r="J71" s="33"/>
      <c r="K71" s="34" t="str">
        <f t="shared" ref="K71:K134" si="4">IF($B71="","",TEXT($B71,"yyyy-mm"))</f>
        <v/>
      </c>
      <c r="L71" s="35" t="str">
        <f>IF($E71="","",IFERROR(INDEX(계정과목!$B$6:$B$58,MATCH($E71,계정과목!$A$6:$A$58,0)),"미등록"))</f>
        <v/>
      </c>
      <c r="M71" s="34" t="str">
        <f>IF($E71="","",IFERROR(INDEX(계정과목!$C$6:$C$58,MATCH($E71,계정과목!$A$6:$A$58,0)),""))</f>
        <v/>
      </c>
      <c r="N71" s="34" t="str">
        <f>IF($E71="","",IFERROR(INDEX(계정과목!$D$6:$D$58,MATCH($E71,계정과목!$A$6:$A$58,0)),""))</f>
        <v/>
      </c>
      <c r="O71" s="34" t="str">
        <f>IF($E71="","",IF(COUNTIF(계정과목!$A$6:$A$58,$E71)=0,"미등록","정상"))</f>
        <v/>
      </c>
      <c r="P71" s="36" t="str">
        <f>IF($A71="","",ROUND(SUMIFS(전표!$F$7:$F$282,전표!$A$7:$A$282,$A71)-SUMIFS(전표!$G$7:$G$282,전표!$A$7:$A$282,$A71),0))</f>
        <v/>
      </c>
      <c r="Q71" s="10">
        <f t="shared" si="3"/>
        <v>0</v>
      </c>
      <c r="R71" t="str">
        <f t="shared" si="2"/>
        <v/>
      </c>
    </row>
    <row r="72" spans="1:18" ht="20" customHeight="1">
      <c r="A72" s="29"/>
      <c r="B72" s="31"/>
      <c r="C72" s="26"/>
      <c r="D72" s="33"/>
      <c r="E72" s="26"/>
      <c r="F72" s="27"/>
      <c r="G72" s="27"/>
      <c r="H72" s="27"/>
      <c r="I72" s="33"/>
      <c r="J72" s="33"/>
      <c r="K72" s="34" t="str">
        <f t="shared" si="4"/>
        <v/>
      </c>
      <c r="L72" s="35" t="str">
        <f>IF($E72="","",IFERROR(INDEX(계정과목!$B$6:$B$58,MATCH($E72,계정과목!$A$6:$A$58,0)),"미등록"))</f>
        <v/>
      </c>
      <c r="M72" s="34" t="str">
        <f>IF($E72="","",IFERROR(INDEX(계정과목!$C$6:$C$58,MATCH($E72,계정과목!$A$6:$A$58,0)),""))</f>
        <v/>
      </c>
      <c r="N72" s="34" t="str">
        <f>IF($E72="","",IFERROR(INDEX(계정과목!$D$6:$D$58,MATCH($E72,계정과목!$A$6:$A$58,0)),""))</f>
        <v/>
      </c>
      <c r="O72" s="34" t="str">
        <f>IF($E72="","",IF(COUNTIF(계정과목!$A$6:$A$58,$E72)=0,"미등록","정상"))</f>
        <v/>
      </c>
      <c r="P72" s="36" t="str">
        <f>IF($A72="","",ROUND(SUMIFS(전표!$F$7:$F$282,전표!$A$7:$A$282,$A72)-SUMIFS(전표!$G$7:$G$282,전표!$A$7:$A$282,$A72),0))</f>
        <v/>
      </c>
      <c r="Q72" s="10">
        <f t="shared" si="3"/>
        <v>0</v>
      </c>
      <c r="R72" t="str">
        <f t="shared" ref="R72:R135" si="5">IF($A72="","",IF($A72=$A71,N($R71),1-N($R71)))</f>
        <v/>
      </c>
    </row>
    <row r="73" spans="1:18" ht="20" customHeight="1">
      <c r="A73" s="29"/>
      <c r="B73" s="31"/>
      <c r="C73" s="26"/>
      <c r="D73" s="33"/>
      <c r="E73" s="26"/>
      <c r="F73" s="27"/>
      <c r="G73" s="27"/>
      <c r="H73" s="27"/>
      <c r="I73" s="33"/>
      <c r="J73" s="33"/>
      <c r="K73" s="34" t="str">
        <f t="shared" si="4"/>
        <v/>
      </c>
      <c r="L73" s="35" t="str">
        <f>IF($E73="","",IFERROR(INDEX(계정과목!$B$6:$B$58,MATCH($E73,계정과목!$A$6:$A$58,0)),"미등록"))</f>
        <v/>
      </c>
      <c r="M73" s="34" t="str">
        <f>IF($E73="","",IFERROR(INDEX(계정과목!$C$6:$C$58,MATCH($E73,계정과목!$A$6:$A$58,0)),""))</f>
        <v/>
      </c>
      <c r="N73" s="34" t="str">
        <f>IF($E73="","",IFERROR(INDEX(계정과목!$D$6:$D$58,MATCH($E73,계정과목!$A$6:$A$58,0)),""))</f>
        <v/>
      </c>
      <c r="O73" s="34" t="str">
        <f>IF($E73="","",IF(COUNTIF(계정과목!$A$6:$A$58,$E73)=0,"미등록","정상"))</f>
        <v/>
      </c>
      <c r="P73" s="36" t="str">
        <f>IF($A73="","",ROUND(SUMIFS(전표!$F$7:$F$282,전표!$A$7:$A$282,$A73)-SUMIFS(전표!$G$7:$G$282,전표!$A$7:$A$282,$A73),0))</f>
        <v/>
      </c>
      <c r="Q73" s="10">
        <f t="shared" si="3"/>
        <v>0</v>
      </c>
      <c r="R73" t="str">
        <f t="shared" si="5"/>
        <v/>
      </c>
    </row>
    <row r="74" spans="1:18" ht="20" customHeight="1">
      <c r="A74" s="29"/>
      <c r="B74" s="31"/>
      <c r="C74" s="26"/>
      <c r="D74" s="33"/>
      <c r="E74" s="26"/>
      <c r="F74" s="27"/>
      <c r="G74" s="27"/>
      <c r="H74" s="27"/>
      <c r="I74" s="33"/>
      <c r="J74" s="33"/>
      <c r="K74" s="34" t="str">
        <f t="shared" si="4"/>
        <v/>
      </c>
      <c r="L74" s="35" t="str">
        <f>IF($E74="","",IFERROR(INDEX(계정과목!$B$6:$B$58,MATCH($E74,계정과목!$A$6:$A$58,0)),"미등록"))</f>
        <v/>
      </c>
      <c r="M74" s="34" t="str">
        <f>IF($E74="","",IFERROR(INDEX(계정과목!$C$6:$C$58,MATCH($E74,계정과목!$A$6:$A$58,0)),""))</f>
        <v/>
      </c>
      <c r="N74" s="34" t="str">
        <f>IF($E74="","",IFERROR(INDEX(계정과목!$D$6:$D$58,MATCH($E74,계정과목!$A$6:$A$58,0)),""))</f>
        <v/>
      </c>
      <c r="O74" s="34" t="str">
        <f>IF($E74="","",IF(COUNTIF(계정과목!$A$6:$A$58,$E74)=0,"미등록","정상"))</f>
        <v/>
      </c>
      <c r="P74" s="36" t="str">
        <f>IF($A74="","",ROUND(SUMIFS(전표!$F$7:$F$282,전표!$A$7:$A$282,$A74)-SUMIFS(전표!$G$7:$G$282,전표!$A$7:$A$282,$A74),0))</f>
        <v/>
      </c>
      <c r="Q74" s="10">
        <f t="shared" si="3"/>
        <v>0</v>
      </c>
      <c r="R74" t="str">
        <f t="shared" si="5"/>
        <v/>
      </c>
    </row>
    <row r="75" spans="1:18" ht="20" customHeight="1">
      <c r="A75" s="29"/>
      <c r="B75" s="31"/>
      <c r="C75" s="26"/>
      <c r="D75" s="33"/>
      <c r="E75" s="26"/>
      <c r="F75" s="27"/>
      <c r="G75" s="27"/>
      <c r="H75" s="27"/>
      <c r="I75" s="33"/>
      <c r="J75" s="33"/>
      <c r="K75" s="34" t="str">
        <f t="shared" si="4"/>
        <v/>
      </c>
      <c r="L75" s="35" t="str">
        <f>IF($E75="","",IFERROR(INDEX(계정과목!$B$6:$B$58,MATCH($E75,계정과목!$A$6:$A$58,0)),"미등록"))</f>
        <v/>
      </c>
      <c r="M75" s="34" t="str">
        <f>IF($E75="","",IFERROR(INDEX(계정과목!$C$6:$C$58,MATCH($E75,계정과목!$A$6:$A$58,0)),""))</f>
        <v/>
      </c>
      <c r="N75" s="34" t="str">
        <f>IF($E75="","",IFERROR(INDEX(계정과목!$D$6:$D$58,MATCH($E75,계정과목!$A$6:$A$58,0)),""))</f>
        <v/>
      </c>
      <c r="O75" s="34" t="str">
        <f>IF($E75="","",IF(COUNTIF(계정과목!$A$6:$A$58,$E75)=0,"미등록","정상"))</f>
        <v/>
      </c>
      <c r="P75" s="36" t="str">
        <f>IF($A75="","",ROUND(SUMIFS(전표!$F$7:$F$282,전표!$A$7:$A$282,$A75)-SUMIFS(전표!$G$7:$G$282,전표!$A$7:$A$282,$A75),0))</f>
        <v/>
      </c>
      <c r="Q75" s="10">
        <f t="shared" si="3"/>
        <v>0</v>
      </c>
      <c r="R75" t="str">
        <f t="shared" si="5"/>
        <v/>
      </c>
    </row>
    <row r="76" spans="1:18" ht="20" customHeight="1">
      <c r="A76" s="29"/>
      <c r="B76" s="31"/>
      <c r="C76" s="26"/>
      <c r="D76" s="33"/>
      <c r="E76" s="26"/>
      <c r="F76" s="27"/>
      <c r="G76" s="27"/>
      <c r="H76" s="27"/>
      <c r="I76" s="33"/>
      <c r="J76" s="33"/>
      <c r="K76" s="34" t="str">
        <f t="shared" si="4"/>
        <v/>
      </c>
      <c r="L76" s="35" t="str">
        <f>IF($E76="","",IFERROR(INDEX(계정과목!$B$6:$B$58,MATCH($E76,계정과목!$A$6:$A$58,0)),"미등록"))</f>
        <v/>
      </c>
      <c r="M76" s="34" t="str">
        <f>IF($E76="","",IFERROR(INDEX(계정과목!$C$6:$C$58,MATCH($E76,계정과목!$A$6:$A$58,0)),""))</f>
        <v/>
      </c>
      <c r="N76" s="34" t="str">
        <f>IF($E76="","",IFERROR(INDEX(계정과목!$D$6:$D$58,MATCH($E76,계정과목!$A$6:$A$58,0)),""))</f>
        <v/>
      </c>
      <c r="O76" s="34" t="str">
        <f>IF($E76="","",IF(COUNTIF(계정과목!$A$6:$A$58,$E76)=0,"미등록","정상"))</f>
        <v/>
      </c>
      <c r="P76" s="36" t="str">
        <f>IF($A76="","",ROUND(SUMIFS(전표!$F$7:$F$282,전표!$A$7:$A$282,$A76)-SUMIFS(전표!$G$7:$G$282,전표!$A$7:$A$282,$A76),0))</f>
        <v/>
      </c>
      <c r="Q76" s="10">
        <f t="shared" si="3"/>
        <v>0</v>
      </c>
      <c r="R76" t="str">
        <f t="shared" si="5"/>
        <v/>
      </c>
    </row>
    <row r="77" spans="1:18" ht="20" customHeight="1">
      <c r="A77" s="29"/>
      <c r="B77" s="31"/>
      <c r="C77" s="26"/>
      <c r="D77" s="33"/>
      <c r="E77" s="26"/>
      <c r="F77" s="27"/>
      <c r="G77" s="27"/>
      <c r="H77" s="27"/>
      <c r="I77" s="33"/>
      <c r="J77" s="33"/>
      <c r="K77" s="34" t="str">
        <f t="shared" si="4"/>
        <v/>
      </c>
      <c r="L77" s="35" t="str">
        <f>IF($E77="","",IFERROR(INDEX(계정과목!$B$6:$B$58,MATCH($E77,계정과목!$A$6:$A$58,0)),"미등록"))</f>
        <v/>
      </c>
      <c r="M77" s="34" t="str">
        <f>IF($E77="","",IFERROR(INDEX(계정과목!$C$6:$C$58,MATCH($E77,계정과목!$A$6:$A$58,0)),""))</f>
        <v/>
      </c>
      <c r="N77" s="34" t="str">
        <f>IF($E77="","",IFERROR(INDEX(계정과목!$D$6:$D$58,MATCH($E77,계정과목!$A$6:$A$58,0)),""))</f>
        <v/>
      </c>
      <c r="O77" s="34" t="str">
        <f>IF($E77="","",IF(COUNTIF(계정과목!$A$6:$A$58,$E77)=0,"미등록","정상"))</f>
        <v/>
      </c>
      <c r="P77" s="36" t="str">
        <f>IF($A77="","",ROUND(SUMIFS(전표!$F$7:$F$282,전표!$A$7:$A$282,$A77)-SUMIFS(전표!$G$7:$G$282,전표!$A$7:$A$282,$A77),0))</f>
        <v/>
      </c>
      <c r="Q77" s="10">
        <f t="shared" si="3"/>
        <v>0</v>
      </c>
      <c r="R77" t="str">
        <f t="shared" si="5"/>
        <v/>
      </c>
    </row>
    <row r="78" spans="1:18" ht="20" customHeight="1">
      <c r="A78" s="29"/>
      <c r="B78" s="31"/>
      <c r="C78" s="26"/>
      <c r="D78" s="33"/>
      <c r="E78" s="26"/>
      <c r="F78" s="27"/>
      <c r="G78" s="27"/>
      <c r="H78" s="27"/>
      <c r="I78" s="33"/>
      <c r="J78" s="33"/>
      <c r="K78" s="34" t="str">
        <f t="shared" si="4"/>
        <v/>
      </c>
      <c r="L78" s="35" t="str">
        <f>IF($E78="","",IFERROR(INDEX(계정과목!$B$6:$B$58,MATCH($E78,계정과목!$A$6:$A$58,0)),"미등록"))</f>
        <v/>
      </c>
      <c r="M78" s="34" t="str">
        <f>IF($E78="","",IFERROR(INDEX(계정과목!$C$6:$C$58,MATCH($E78,계정과목!$A$6:$A$58,0)),""))</f>
        <v/>
      </c>
      <c r="N78" s="34" t="str">
        <f>IF($E78="","",IFERROR(INDEX(계정과목!$D$6:$D$58,MATCH($E78,계정과목!$A$6:$A$58,0)),""))</f>
        <v/>
      </c>
      <c r="O78" s="34" t="str">
        <f>IF($E78="","",IF(COUNTIF(계정과목!$A$6:$A$58,$E78)=0,"미등록","정상"))</f>
        <v/>
      </c>
      <c r="P78" s="36" t="str">
        <f>IF($A78="","",ROUND(SUMIFS(전표!$F$7:$F$282,전표!$A$7:$A$282,$A78)-SUMIFS(전표!$G$7:$G$282,전표!$A$7:$A$282,$A78),0))</f>
        <v/>
      </c>
      <c r="Q78" s="10">
        <f t="shared" si="3"/>
        <v>0</v>
      </c>
      <c r="R78" t="str">
        <f t="shared" si="5"/>
        <v/>
      </c>
    </row>
    <row r="79" spans="1:18" ht="20" customHeight="1">
      <c r="A79" s="29"/>
      <c r="B79" s="31"/>
      <c r="C79" s="26"/>
      <c r="D79" s="33"/>
      <c r="E79" s="26"/>
      <c r="F79" s="27"/>
      <c r="G79" s="27"/>
      <c r="H79" s="27"/>
      <c r="I79" s="33"/>
      <c r="J79" s="33"/>
      <c r="K79" s="34" t="str">
        <f t="shared" si="4"/>
        <v/>
      </c>
      <c r="L79" s="35" t="str">
        <f>IF($E79="","",IFERROR(INDEX(계정과목!$B$6:$B$58,MATCH($E79,계정과목!$A$6:$A$58,0)),"미등록"))</f>
        <v/>
      </c>
      <c r="M79" s="34" t="str">
        <f>IF($E79="","",IFERROR(INDEX(계정과목!$C$6:$C$58,MATCH($E79,계정과목!$A$6:$A$58,0)),""))</f>
        <v/>
      </c>
      <c r="N79" s="34" t="str">
        <f>IF($E79="","",IFERROR(INDEX(계정과목!$D$6:$D$58,MATCH($E79,계정과목!$A$6:$A$58,0)),""))</f>
        <v/>
      </c>
      <c r="O79" s="34" t="str">
        <f>IF($E79="","",IF(COUNTIF(계정과목!$A$6:$A$58,$E79)=0,"미등록","정상"))</f>
        <v/>
      </c>
      <c r="P79" s="36" t="str">
        <f>IF($A79="","",ROUND(SUMIFS(전표!$F$7:$F$282,전표!$A$7:$A$282,$A79)-SUMIFS(전표!$G$7:$G$282,전표!$A$7:$A$282,$A79),0))</f>
        <v/>
      </c>
      <c r="Q79" s="10">
        <f t="shared" si="3"/>
        <v>0</v>
      </c>
      <c r="R79" t="str">
        <f t="shared" si="5"/>
        <v/>
      </c>
    </row>
    <row r="80" spans="1:18" ht="20" customHeight="1">
      <c r="A80" s="29"/>
      <c r="B80" s="31"/>
      <c r="C80" s="26"/>
      <c r="D80" s="33"/>
      <c r="E80" s="26"/>
      <c r="F80" s="27"/>
      <c r="G80" s="27"/>
      <c r="H80" s="27"/>
      <c r="I80" s="33"/>
      <c r="J80" s="33"/>
      <c r="K80" s="34" t="str">
        <f t="shared" si="4"/>
        <v/>
      </c>
      <c r="L80" s="35" t="str">
        <f>IF($E80="","",IFERROR(INDEX(계정과목!$B$6:$B$58,MATCH($E80,계정과목!$A$6:$A$58,0)),"미등록"))</f>
        <v/>
      </c>
      <c r="M80" s="34" t="str">
        <f>IF($E80="","",IFERROR(INDEX(계정과목!$C$6:$C$58,MATCH($E80,계정과목!$A$6:$A$58,0)),""))</f>
        <v/>
      </c>
      <c r="N80" s="34" t="str">
        <f>IF($E80="","",IFERROR(INDEX(계정과목!$D$6:$D$58,MATCH($E80,계정과목!$A$6:$A$58,0)),""))</f>
        <v/>
      </c>
      <c r="O80" s="34" t="str">
        <f>IF($E80="","",IF(COUNTIF(계정과목!$A$6:$A$58,$E80)=0,"미등록","정상"))</f>
        <v/>
      </c>
      <c r="P80" s="36" t="str">
        <f>IF($A80="","",ROUND(SUMIFS(전표!$F$7:$F$282,전표!$A$7:$A$282,$A80)-SUMIFS(전표!$G$7:$G$282,전표!$A$7:$A$282,$A80),0))</f>
        <v/>
      </c>
      <c r="Q80" s="10">
        <f t="shared" si="3"/>
        <v>0</v>
      </c>
      <c r="R80" t="str">
        <f t="shared" si="5"/>
        <v/>
      </c>
    </row>
    <row r="81" spans="1:18" ht="20" customHeight="1">
      <c r="A81" s="29"/>
      <c r="B81" s="31"/>
      <c r="C81" s="26"/>
      <c r="D81" s="33"/>
      <c r="E81" s="26"/>
      <c r="F81" s="27"/>
      <c r="G81" s="27"/>
      <c r="H81" s="27"/>
      <c r="I81" s="33"/>
      <c r="J81" s="33"/>
      <c r="K81" s="34" t="str">
        <f t="shared" si="4"/>
        <v/>
      </c>
      <c r="L81" s="35" t="str">
        <f>IF($E81="","",IFERROR(INDEX(계정과목!$B$6:$B$58,MATCH($E81,계정과목!$A$6:$A$58,0)),"미등록"))</f>
        <v/>
      </c>
      <c r="M81" s="34" t="str">
        <f>IF($E81="","",IFERROR(INDEX(계정과목!$C$6:$C$58,MATCH($E81,계정과목!$A$6:$A$58,0)),""))</f>
        <v/>
      </c>
      <c r="N81" s="34" t="str">
        <f>IF($E81="","",IFERROR(INDEX(계정과목!$D$6:$D$58,MATCH($E81,계정과목!$A$6:$A$58,0)),""))</f>
        <v/>
      </c>
      <c r="O81" s="34" t="str">
        <f>IF($E81="","",IF(COUNTIF(계정과목!$A$6:$A$58,$E81)=0,"미등록","정상"))</f>
        <v/>
      </c>
      <c r="P81" s="36" t="str">
        <f>IF($A81="","",ROUND(SUMIFS(전표!$F$7:$F$282,전표!$A$7:$A$282,$A81)-SUMIFS(전표!$G$7:$G$282,전표!$A$7:$A$282,$A81),0))</f>
        <v/>
      </c>
      <c r="Q81" s="10">
        <f t="shared" si="3"/>
        <v>0</v>
      </c>
      <c r="R81" t="str">
        <f t="shared" si="5"/>
        <v/>
      </c>
    </row>
    <row r="82" spans="1:18" ht="20" customHeight="1">
      <c r="A82" s="29"/>
      <c r="B82" s="31"/>
      <c r="C82" s="26"/>
      <c r="D82" s="33"/>
      <c r="E82" s="26"/>
      <c r="F82" s="27"/>
      <c r="G82" s="27"/>
      <c r="H82" s="27"/>
      <c r="I82" s="33"/>
      <c r="J82" s="33"/>
      <c r="K82" s="34" t="str">
        <f t="shared" si="4"/>
        <v/>
      </c>
      <c r="L82" s="35" t="str">
        <f>IF($E82="","",IFERROR(INDEX(계정과목!$B$6:$B$58,MATCH($E82,계정과목!$A$6:$A$58,0)),"미등록"))</f>
        <v/>
      </c>
      <c r="M82" s="34" t="str">
        <f>IF($E82="","",IFERROR(INDEX(계정과목!$C$6:$C$58,MATCH($E82,계정과목!$A$6:$A$58,0)),""))</f>
        <v/>
      </c>
      <c r="N82" s="34" t="str">
        <f>IF($E82="","",IFERROR(INDEX(계정과목!$D$6:$D$58,MATCH($E82,계정과목!$A$6:$A$58,0)),""))</f>
        <v/>
      </c>
      <c r="O82" s="34" t="str">
        <f>IF($E82="","",IF(COUNTIF(계정과목!$A$6:$A$58,$E82)=0,"미등록","정상"))</f>
        <v/>
      </c>
      <c r="P82" s="36" t="str">
        <f>IF($A82="","",ROUND(SUMIFS(전표!$F$7:$F$282,전표!$A$7:$A$282,$A82)-SUMIFS(전표!$G$7:$G$282,전표!$A$7:$A$282,$A82),0))</f>
        <v/>
      </c>
      <c r="Q82" s="10">
        <f t="shared" si="3"/>
        <v>0</v>
      </c>
      <c r="R82" t="str">
        <f t="shared" si="5"/>
        <v/>
      </c>
    </row>
    <row r="83" spans="1:18" ht="20" customHeight="1">
      <c r="A83" s="29"/>
      <c r="B83" s="31"/>
      <c r="C83" s="26"/>
      <c r="D83" s="33"/>
      <c r="E83" s="26"/>
      <c r="F83" s="27"/>
      <c r="G83" s="27"/>
      <c r="H83" s="27"/>
      <c r="I83" s="33"/>
      <c r="J83" s="33"/>
      <c r="K83" s="34" t="str">
        <f t="shared" si="4"/>
        <v/>
      </c>
      <c r="L83" s="35" t="str">
        <f>IF($E83="","",IFERROR(INDEX(계정과목!$B$6:$B$58,MATCH($E83,계정과목!$A$6:$A$58,0)),"미등록"))</f>
        <v/>
      </c>
      <c r="M83" s="34" t="str">
        <f>IF($E83="","",IFERROR(INDEX(계정과목!$C$6:$C$58,MATCH($E83,계정과목!$A$6:$A$58,0)),""))</f>
        <v/>
      </c>
      <c r="N83" s="34" t="str">
        <f>IF($E83="","",IFERROR(INDEX(계정과목!$D$6:$D$58,MATCH($E83,계정과목!$A$6:$A$58,0)),""))</f>
        <v/>
      </c>
      <c r="O83" s="34" t="str">
        <f>IF($E83="","",IF(COUNTIF(계정과목!$A$6:$A$58,$E83)=0,"미등록","정상"))</f>
        <v/>
      </c>
      <c r="P83" s="36" t="str">
        <f>IF($A83="","",ROUND(SUMIFS(전표!$F$7:$F$282,전표!$A$7:$A$282,$A83)-SUMIFS(전표!$G$7:$G$282,전표!$A$7:$A$282,$A83),0))</f>
        <v/>
      </c>
      <c r="Q83" s="10">
        <f t="shared" si="3"/>
        <v>0</v>
      </c>
      <c r="R83" t="str">
        <f t="shared" si="5"/>
        <v/>
      </c>
    </row>
    <row r="84" spans="1:18" ht="20" customHeight="1">
      <c r="A84" s="29"/>
      <c r="B84" s="31"/>
      <c r="C84" s="26"/>
      <c r="D84" s="33"/>
      <c r="E84" s="26"/>
      <c r="F84" s="27"/>
      <c r="G84" s="27"/>
      <c r="H84" s="27"/>
      <c r="I84" s="33"/>
      <c r="J84" s="33"/>
      <c r="K84" s="34" t="str">
        <f t="shared" si="4"/>
        <v/>
      </c>
      <c r="L84" s="35" t="str">
        <f>IF($E84="","",IFERROR(INDEX(계정과목!$B$6:$B$58,MATCH($E84,계정과목!$A$6:$A$58,0)),"미등록"))</f>
        <v/>
      </c>
      <c r="M84" s="34" t="str">
        <f>IF($E84="","",IFERROR(INDEX(계정과목!$C$6:$C$58,MATCH($E84,계정과목!$A$6:$A$58,0)),""))</f>
        <v/>
      </c>
      <c r="N84" s="34" t="str">
        <f>IF($E84="","",IFERROR(INDEX(계정과목!$D$6:$D$58,MATCH($E84,계정과목!$A$6:$A$58,0)),""))</f>
        <v/>
      </c>
      <c r="O84" s="34" t="str">
        <f>IF($E84="","",IF(COUNTIF(계정과목!$A$6:$A$58,$E84)=0,"미등록","정상"))</f>
        <v/>
      </c>
      <c r="P84" s="36" t="str">
        <f>IF($A84="","",ROUND(SUMIFS(전표!$F$7:$F$282,전표!$A$7:$A$282,$A84)-SUMIFS(전표!$G$7:$G$282,전표!$A$7:$A$282,$A84),0))</f>
        <v/>
      </c>
      <c r="Q84" s="10">
        <f t="shared" si="3"/>
        <v>0</v>
      </c>
      <c r="R84" t="str">
        <f t="shared" si="5"/>
        <v/>
      </c>
    </row>
    <row r="85" spans="1:18" ht="20" customHeight="1">
      <c r="A85" s="29"/>
      <c r="B85" s="31"/>
      <c r="C85" s="26"/>
      <c r="D85" s="33"/>
      <c r="E85" s="26"/>
      <c r="F85" s="27"/>
      <c r="G85" s="27"/>
      <c r="H85" s="27"/>
      <c r="I85" s="33"/>
      <c r="J85" s="33"/>
      <c r="K85" s="34" t="str">
        <f t="shared" si="4"/>
        <v/>
      </c>
      <c r="L85" s="35" t="str">
        <f>IF($E85="","",IFERROR(INDEX(계정과목!$B$6:$B$58,MATCH($E85,계정과목!$A$6:$A$58,0)),"미등록"))</f>
        <v/>
      </c>
      <c r="M85" s="34" t="str">
        <f>IF($E85="","",IFERROR(INDEX(계정과목!$C$6:$C$58,MATCH($E85,계정과목!$A$6:$A$58,0)),""))</f>
        <v/>
      </c>
      <c r="N85" s="34" t="str">
        <f>IF($E85="","",IFERROR(INDEX(계정과목!$D$6:$D$58,MATCH($E85,계정과목!$A$6:$A$58,0)),""))</f>
        <v/>
      </c>
      <c r="O85" s="34" t="str">
        <f>IF($E85="","",IF(COUNTIF(계정과목!$A$6:$A$58,$E85)=0,"미등록","정상"))</f>
        <v/>
      </c>
      <c r="P85" s="36" t="str">
        <f>IF($A85="","",ROUND(SUMIFS(전표!$F$7:$F$282,전표!$A$7:$A$282,$A85)-SUMIFS(전표!$G$7:$G$282,전표!$A$7:$A$282,$A85),0))</f>
        <v/>
      </c>
      <c r="Q85" s="10">
        <f t="shared" si="3"/>
        <v>0</v>
      </c>
      <c r="R85" t="str">
        <f t="shared" si="5"/>
        <v/>
      </c>
    </row>
    <row r="86" spans="1:18" ht="20" customHeight="1">
      <c r="A86" s="29"/>
      <c r="B86" s="31"/>
      <c r="C86" s="26"/>
      <c r="D86" s="33"/>
      <c r="E86" s="26"/>
      <c r="F86" s="27"/>
      <c r="G86" s="27"/>
      <c r="H86" s="27"/>
      <c r="I86" s="33"/>
      <c r="J86" s="33"/>
      <c r="K86" s="34" t="str">
        <f t="shared" si="4"/>
        <v/>
      </c>
      <c r="L86" s="35" t="str">
        <f>IF($E86="","",IFERROR(INDEX(계정과목!$B$6:$B$58,MATCH($E86,계정과목!$A$6:$A$58,0)),"미등록"))</f>
        <v/>
      </c>
      <c r="M86" s="34" t="str">
        <f>IF($E86="","",IFERROR(INDEX(계정과목!$C$6:$C$58,MATCH($E86,계정과목!$A$6:$A$58,0)),""))</f>
        <v/>
      </c>
      <c r="N86" s="34" t="str">
        <f>IF($E86="","",IFERROR(INDEX(계정과목!$D$6:$D$58,MATCH($E86,계정과목!$A$6:$A$58,0)),""))</f>
        <v/>
      </c>
      <c r="O86" s="34" t="str">
        <f>IF($E86="","",IF(COUNTIF(계정과목!$A$6:$A$58,$E86)=0,"미등록","정상"))</f>
        <v/>
      </c>
      <c r="P86" s="36" t="str">
        <f>IF($A86="","",ROUND(SUMIFS(전표!$F$7:$F$282,전표!$A$7:$A$282,$A86)-SUMIFS(전표!$G$7:$G$282,전표!$A$7:$A$282,$A86),0))</f>
        <v/>
      </c>
      <c r="Q86" s="10">
        <f t="shared" si="3"/>
        <v>0</v>
      </c>
      <c r="R86" t="str">
        <f t="shared" si="5"/>
        <v/>
      </c>
    </row>
    <row r="87" spans="1:18" ht="20" customHeight="1">
      <c r="A87" s="29"/>
      <c r="B87" s="31"/>
      <c r="C87" s="26"/>
      <c r="D87" s="33"/>
      <c r="E87" s="26"/>
      <c r="F87" s="27"/>
      <c r="G87" s="27"/>
      <c r="H87" s="27"/>
      <c r="I87" s="33"/>
      <c r="J87" s="33"/>
      <c r="K87" s="34" t="str">
        <f t="shared" si="4"/>
        <v/>
      </c>
      <c r="L87" s="35" t="str">
        <f>IF($E87="","",IFERROR(INDEX(계정과목!$B$6:$B$58,MATCH($E87,계정과목!$A$6:$A$58,0)),"미등록"))</f>
        <v/>
      </c>
      <c r="M87" s="34" t="str">
        <f>IF($E87="","",IFERROR(INDEX(계정과목!$C$6:$C$58,MATCH($E87,계정과목!$A$6:$A$58,0)),""))</f>
        <v/>
      </c>
      <c r="N87" s="34" t="str">
        <f>IF($E87="","",IFERROR(INDEX(계정과목!$D$6:$D$58,MATCH($E87,계정과목!$A$6:$A$58,0)),""))</f>
        <v/>
      </c>
      <c r="O87" s="34" t="str">
        <f>IF($E87="","",IF(COUNTIF(계정과목!$A$6:$A$58,$E87)=0,"미등록","정상"))</f>
        <v/>
      </c>
      <c r="P87" s="36" t="str">
        <f>IF($A87="","",ROUND(SUMIFS(전표!$F$7:$F$282,전표!$A$7:$A$282,$A87)-SUMIFS(전표!$G$7:$G$282,전표!$A$7:$A$282,$A87),0))</f>
        <v/>
      </c>
      <c r="Q87" s="10">
        <f t="shared" si="3"/>
        <v>0</v>
      </c>
      <c r="R87" t="str">
        <f t="shared" si="5"/>
        <v/>
      </c>
    </row>
    <row r="88" spans="1:18" ht="20" customHeight="1">
      <c r="A88" s="29"/>
      <c r="B88" s="31"/>
      <c r="C88" s="26"/>
      <c r="D88" s="33"/>
      <c r="E88" s="26"/>
      <c r="F88" s="27"/>
      <c r="G88" s="27"/>
      <c r="H88" s="27"/>
      <c r="I88" s="33"/>
      <c r="J88" s="33"/>
      <c r="K88" s="34" t="str">
        <f t="shared" si="4"/>
        <v/>
      </c>
      <c r="L88" s="35" t="str">
        <f>IF($E88="","",IFERROR(INDEX(계정과목!$B$6:$B$58,MATCH($E88,계정과목!$A$6:$A$58,0)),"미등록"))</f>
        <v/>
      </c>
      <c r="M88" s="34" t="str">
        <f>IF($E88="","",IFERROR(INDEX(계정과목!$C$6:$C$58,MATCH($E88,계정과목!$A$6:$A$58,0)),""))</f>
        <v/>
      </c>
      <c r="N88" s="34" t="str">
        <f>IF($E88="","",IFERROR(INDEX(계정과목!$D$6:$D$58,MATCH($E88,계정과목!$A$6:$A$58,0)),""))</f>
        <v/>
      </c>
      <c r="O88" s="34" t="str">
        <f>IF($E88="","",IF(COUNTIF(계정과목!$A$6:$A$58,$E88)=0,"미등록","정상"))</f>
        <v/>
      </c>
      <c r="P88" s="36" t="str">
        <f>IF($A88="","",ROUND(SUMIFS(전표!$F$7:$F$282,전표!$A$7:$A$282,$A88)-SUMIFS(전표!$G$7:$G$282,전표!$A$7:$A$282,$A88),0))</f>
        <v/>
      </c>
      <c r="Q88" s="10">
        <f t="shared" si="3"/>
        <v>0</v>
      </c>
      <c r="R88" t="str">
        <f t="shared" si="5"/>
        <v/>
      </c>
    </row>
    <row r="89" spans="1:18" ht="20" customHeight="1">
      <c r="A89" s="29"/>
      <c r="B89" s="31"/>
      <c r="C89" s="26"/>
      <c r="D89" s="33"/>
      <c r="E89" s="26"/>
      <c r="F89" s="27"/>
      <c r="G89" s="27"/>
      <c r="H89" s="27"/>
      <c r="I89" s="33"/>
      <c r="J89" s="33"/>
      <c r="K89" s="34" t="str">
        <f t="shared" si="4"/>
        <v/>
      </c>
      <c r="L89" s="35" t="str">
        <f>IF($E89="","",IFERROR(INDEX(계정과목!$B$6:$B$58,MATCH($E89,계정과목!$A$6:$A$58,0)),"미등록"))</f>
        <v/>
      </c>
      <c r="M89" s="34" t="str">
        <f>IF($E89="","",IFERROR(INDEX(계정과목!$C$6:$C$58,MATCH($E89,계정과목!$A$6:$A$58,0)),""))</f>
        <v/>
      </c>
      <c r="N89" s="34" t="str">
        <f>IF($E89="","",IFERROR(INDEX(계정과목!$D$6:$D$58,MATCH($E89,계정과목!$A$6:$A$58,0)),""))</f>
        <v/>
      </c>
      <c r="O89" s="34" t="str">
        <f>IF($E89="","",IF(COUNTIF(계정과목!$A$6:$A$58,$E89)=0,"미등록","정상"))</f>
        <v/>
      </c>
      <c r="P89" s="36" t="str">
        <f>IF($A89="","",ROUND(SUMIFS(전표!$F$7:$F$282,전표!$A$7:$A$282,$A89)-SUMIFS(전표!$G$7:$G$282,전표!$A$7:$A$282,$A89),0))</f>
        <v/>
      </c>
      <c r="Q89" s="10">
        <f t="shared" si="3"/>
        <v>0</v>
      </c>
      <c r="R89" t="str">
        <f t="shared" si="5"/>
        <v/>
      </c>
    </row>
    <row r="90" spans="1:18" ht="20" customHeight="1">
      <c r="A90" s="29"/>
      <c r="B90" s="31"/>
      <c r="C90" s="26"/>
      <c r="D90" s="33"/>
      <c r="E90" s="26"/>
      <c r="F90" s="27"/>
      <c r="G90" s="27"/>
      <c r="H90" s="27"/>
      <c r="I90" s="33"/>
      <c r="J90" s="33"/>
      <c r="K90" s="34" t="str">
        <f t="shared" si="4"/>
        <v/>
      </c>
      <c r="L90" s="35" t="str">
        <f>IF($E90="","",IFERROR(INDEX(계정과목!$B$6:$B$58,MATCH($E90,계정과목!$A$6:$A$58,0)),"미등록"))</f>
        <v/>
      </c>
      <c r="M90" s="34" t="str">
        <f>IF($E90="","",IFERROR(INDEX(계정과목!$C$6:$C$58,MATCH($E90,계정과목!$A$6:$A$58,0)),""))</f>
        <v/>
      </c>
      <c r="N90" s="34" t="str">
        <f>IF($E90="","",IFERROR(INDEX(계정과목!$D$6:$D$58,MATCH($E90,계정과목!$A$6:$A$58,0)),""))</f>
        <v/>
      </c>
      <c r="O90" s="34" t="str">
        <f>IF($E90="","",IF(COUNTIF(계정과목!$A$6:$A$58,$E90)=0,"미등록","정상"))</f>
        <v/>
      </c>
      <c r="P90" s="36" t="str">
        <f>IF($A90="","",ROUND(SUMIFS(전표!$F$7:$F$282,전표!$A$7:$A$282,$A90)-SUMIFS(전표!$G$7:$G$282,전표!$A$7:$A$282,$A90),0))</f>
        <v/>
      </c>
      <c r="Q90" s="10">
        <f t="shared" si="3"/>
        <v>0</v>
      </c>
      <c r="R90" t="str">
        <f t="shared" si="5"/>
        <v/>
      </c>
    </row>
    <row r="91" spans="1:18" ht="20" customHeight="1">
      <c r="A91" s="29"/>
      <c r="B91" s="31"/>
      <c r="C91" s="26"/>
      <c r="D91" s="33"/>
      <c r="E91" s="26"/>
      <c r="F91" s="27"/>
      <c r="G91" s="27"/>
      <c r="H91" s="27"/>
      <c r="I91" s="33"/>
      <c r="J91" s="33"/>
      <c r="K91" s="34" t="str">
        <f t="shared" si="4"/>
        <v/>
      </c>
      <c r="L91" s="35" t="str">
        <f>IF($E91="","",IFERROR(INDEX(계정과목!$B$6:$B$58,MATCH($E91,계정과목!$A$6:$A$58,0)),"미등록"))</f>
        <v/>
      </c>
      <c r="M91" s="34" t="str">
        <f>IF($E91="","",IFERROR(INDEX(계정과목!$C$6:$C$58,MATCH($E91,계정과목!$A$6:$A$58,0)),""))</f>
        <v/>
      </c>
      <c r="N91" s="34" t="str">
        <f>IF($E91="","",IFERROR(INDEX(계정과목!$D$6:$D$58,MATCH($E91,계정과목!$A$6:$A$58,0)),""))</f>
        <v/>
      </c>
      <c r="O91" s="34" t="str">
        <f>IF($E91="","",IF(COUNTIF(계정과목!$A$6:$A$58,$E91)=0,"미등록","정상"))</f>
        <v/>
      </c>
      <c r="P91" s="36" t="str">
        <f>IF($A91="","",ROUND(SUMIFS(전표!$F$7:$F$282,전표!$A$7:$A$282,$A91)-SUMIFS(전표!$G$7:$G$282,전표!$A$7:$A$282,$A91),0))</f>
        <v/>
      </c>
      <c r="Q91" s="10">
        <f t="shared" si="3"/>
        <v>0</v>
      </c>
      <c r="R91" t="str">
        <f t="shared" si="5"/>
        <v/>
      </c>
    </row>
    <row r="92" spans="1:18" ht="20" customHeight="1">
      <c r="A92" s="29"/>
      <c r="B92" s="31"/>
      <c r="C92" s="26"/>
      <c r="D92" s="33"/>
      <c r="E92" s="26"/>
      <c r="F92" s="27"/>
      <c r="G92" s="27"/>
      <c r="H92" s="27"/>
      <c r="I92" s="33"/>
      <c r="J92" s="33"/>
      <c r="K92" s="34" t="str">
        <f t="shared" si="4"/>
        <v/>
      </c>
      <c r="L92" s="35" t="str">
        <f>IF($E92="","",IFERROR(INDEX(계정과목!$B$6:$B$58,MATCH($E92,계정과목!$A$6:$A$58,0)),"미등록"))</f>
        <v/>
      </c>
      <c r="M92" s="34" t="str">
        <f>IF($E92="","",IFERROR(INDEX(계정과목!$C$6:$C$58,MATCH($E92,계정과목!$A$6:$A$58,0)),""))</f>
        <v/>
      </c>
      <c r="N92" s="34" t="str">
        <f>IF($E92="","",IFERROR(INDEX(계정과목!$D$6:$D$58,MATCH($E92,계정과목!$A$6:$A$58,0)),""))</f>
        <v/>
      </c>
      <c r="O92" s="34" t="str">
        <f>IF($E92="","",IF(COUNTIF(계정과목!$A$6:$A$58,$E92)=0,"미등록","정상"))</f>
        <v/>
      </c>
      <c r="P92" s="36" t="str">
        <f>IF($A92="","",ROUND(SUMIFS(전표!$F$7:$F$282,전표!$A$7:$A$282,$A92)-SUMIFS(전표!$G$7:$G$282,전표!$A$7:$A$282,$A92),0))</f>
        <v/>
      </c>
      <c r="Q92" s="10">
        <f t="shared" si="3"/>
        <v>0</v>
      </c>
      <c r="R92" t="str">
        <f t="shared" si="5"/>
        <v/>
      </c>
    </row>
    <row r="93" spans="1:18" ht="20" customHeight="1">
      <c r="A93" s="29"/>
      <c r="B93" s="31"/>
      <c r="C93" s="26"/>
      <c r="D93" s="33"/>
      <c r="E93" s="26"/>
      <c r="F93" s="27"/>
      <c r="G93" s="27"/>
      <c r="H93" s="27"/>
      <c r="I93" s="33"/>
      <c r="J93" s="33"/>
      <c r="K93" s="34" t="str">
        <f t="shared" si="4"/>
        <v/>
      </c>
      <c r="L93" s="35" t="str">
        <f>IF($E93="","",IFERROR(INDEX(계정과목!$B$6:$B$58,MATCH($E93,계정과목!$A$6:$A$58,0)),"미등록"))</f>
        <v/>
      </c>
      <c r="M93" s="34" t="str">
        <f>IF($E93="","",IFERROR(INDEX(계정과목!$C$6:$C$58,MATCH($E93,계정과목!$A$6:$A$58,0)),""))</f>
        <v/>
      </c>
      <c r="N93" s="34" t="str">
        <f>IF($E93="","",IFERROR(INDEX(계정과목!$D$6:$D$58,MATCH($E93,계정과목!$A$6:$A$58,0)),""))</f>
        <v/>
      </c>
      <c r="O93" s="34" t="str">
        <f>IF($E93="","",IF(COUNTIF(계정과목!$A$6:$A$58,$E93)=0,"미등록","정상"))</f>
        <v/>
      </c>
      <c r="P93" s="36" t="str">
        <f>IF($A93="","",ROUND(SUMIFS(전표!$F$7:$F$282,전표!$A$7:$A$282,$A93)-SUMIFS(전표!$G$7:$G$282,전표!$A$7:$A$282,$A93),0))</f>
        <v/>
      </c>
      <c r="Q93" s="10">
        <f t="shared" si="3"/>
        <v>0</v>
      </c>
      <c r="R93" t="str">
        <f t="shared" si="5"/>
        <v/>
      </c>
    </row>
    <row r="94" spans="1:18" ht="20" customHeight="1">
      <c r="A94" s="29"/>
      <c r="B94" s="31"/>
      <c r="C94" s="26"/>
      <c r="D94" s="33"/>
      <c r="E94" s="26"/>
      <c r="F94" s="27"/>
      <c r="G94" s="27"/>
      <c r="H94" s="27"/>
      <c r="I94" s="33"/>
      <c r="J94" s="33"/>
      <c r="K94" s="34" t="str">
        <f t="shared" si="4"/>
        <v/>
      </c>
      <c r="L94" s="35" t="str">
        <f>IF($E94="","",IFERROR(INDEX(계정과목!$B$6:$B$58,MATCH($E94,계정과목!$A$6:$A$58,0)),"미등록"))</f>
        <v/>
      </c>
      <c r="M94" s="34" t="str">
        <f>IF($E94="","",IFERROR(INDEX(계정과목!$C$6:$C$58,MATCH($E94,계정과목!$A$6:$A$58,0)),""))</f>
        <v/>
      </c>
      <c r="N94" s="34" t="str">
        <f>IF($E94="","",IFERROR(INDEX(계정과목!$D$6:$D$58,MATCH($E94,계정과목!$A$6:$A$58,0)),""))</f>
        <v/>
      </c>
      <c r="O94" s="34" t="str">
        <f>IF($E94="","",IF(COUNTIF(계정과목!$A$6:$A$58,$E94)=0,"미등록","정상"))</f>
        <v/>
      </c>
      <c r="P94" s="36" t="str">
        <f>IF($A94="","",ROUND(SUMIFS(전표!$F$7:$F$282,전표!$A$7:$A$282,$A94)-SUMIFS(전표!$G$7:$G$282,전표!$A$7:$A$282,$A94),0))</f>
        <v/>
      </c>
      <c r="Q94" s="10">
        <f t="shared" si="3"/>
        <v>0</v>
      </c>
      <c r="R94" t="str">
        <f t="shared" si="5"/>
        <v/>
      </c>
    </row>
    <row r="95" spans="1:18" ht="20" customHeight="1">
      <c r="A95" s="29"/>
      <c r="B95" s="31"/>
      <c r="C95" s="26"/>
      <c r="D95" s="33"/>
      <c r="E95" s="26"/>
      <c r="F95" s="27"/>
      <c r="G95" s="27"/>
      <c r="H95" s="27"/>
      <c r="I95" s="33"/>
      <c r="J95" s="33"/>
      <c r="K95" s="34" t="str">
        <f t="shared" si="4"/>
        <v/>
      </c>
      <c r="L95" s="35" t="str">
        <f>IF($E95="","",IFERROR(INDEX(계정과목!$B$6:$B$58,MATCH($E95,계정과목!$A$6:$A$58,0)),"미등록"))</f>
        <v/>
      </c>
      <c r="M95" s="34" t="str">
        <f>IF($E95="","",IFERROR(INDEX(계정과목!$C$6:$C$58,MATCH($E95,계정과목!$A$6:$A$58,0)),""))</f>
        <v/>
      </c>
      <c r="N95" s="34" t="str">
        <f>IF($E95="","",IFERROR(INDEX(계정과목!$D$6:$D$58,MATCH($E95,계정과목!$A$6:$A$58,0)),""))</f>
        <v/>
      </c>
      <c r="O95" s="34" t="str">
        <f>IF($E95="","",IF(COUNTIF(계정과목!$A$6:$A$58,$E95)=0,"미등록","정상"))</f>
        <v/>
      </c>
      <c r="P95" s="36" t="str">
        <f>IF($A95="","",ROUND(SUMIFS(전표!$F$7:$F$282,전표!$A$7:$A$282,$A95)-SUMIFS(전표!$G$7:$G$282,전표!$A$7:$A$282,$A95),0))</f>
        <v/>
      </c>
      <c r="Q95" s="10">
        <f t="shared" si="3"/>
        <v>0</v>
      </c>
      <c r="R95" t="str">
        <f t="shared" si="5"/>
        <v/>
      </c>
    </row>
    <row r="96" spans="1:18" ht="20" customHeight="1">
      <c r="A96" s="29"/>
      <c r="B96" s="31"/>
      <c r="C96" s="26"/>
      <c r="D96" s="33"/>
      <c r="E96" s="26"/>
      <c r="F96" s="27"/>
      <c r="G96" s="27"/>
      <c r="H96" s="27"/>
      <c r="I96" s="33"/>
      <c r="J96" s="33"/>
      <c r="K96" s="34" t="str">
        <f t="shared" si="4"/>
        <v/>
      </c>
      <c r="L96" s="35" t="str">
        <f>IF($E96="","",IFERROR(INDEX(계정과목!$B$6:$B$58,MATCH($E96,계정과목!$A$6:$A$58,0)),"미등록"))</f>
        <v/>
      </c>
      <c r="M96" s="34" t="str">
        <f>IF($E96="","",IFERROR(INDEX(계정과목!$C$6:$C$58,MATCH($E96,계정과목!$A$6:$A$58,0)),""))</f>
        <v/>
      </c>
      <c r="N96" s="34" t="str">
        <f>IF($E96="","",IFERROR(INDEX(계정과목!$D$6:$D$58,MATCH($E96,계정과목!$A$6:$A$58,0)),""))</f>
        <v/>
      </c>
      <c r="O96" s="34" t="str">
        <f>IF($E96="","",IF(COUNTIF(계정과목!$A$6:$A$58,$E96)=0,"미등록","정상"))</f>
        <v/>
      </c>
      <c r="P96" s="36" t="str">
        <f>IF($A96="","",ROUND(SUMIFS(전표!$F$7:$F$282,전표!$A$7:$A$282,$A96)-SUMIFS(전표!$G$7:$G$282,전표!$A$7:$A$282,$A96),0))</f>
        <v/>
      </c>
      <c r="Q96" s="10">
        <f t="shared" si="3"/>
        <v>0</v>
      </c>
      <c r="R96" t="str">
        <f t="shared" si="5"/>
        <v/>
      </c>
    </row>
    <row r="97" spans="1:18" ht="20" customHeight="1">
      <c r="A97" s="29"/>
      <c r="B97" s="31"/>
      <c r="C97" s="26"/>
      <c r="D97" s="33"/>
      <c r="E97" s="26"/>
      <c r="F97" s="27"/>
      <c r="G97" s="27"/>
      <c r="H97" s="27"/>
      <c r="I97" s="33"/>
      <c r="J97" s="33"/>
      <c r="K97" s="34" t="str">
        <f t="shared" si="4"/>
        <v/>
      </c>
      <c r="L97" s="35" t="str">
        <f>IF($E97="","",IFERROR(INDEX(계정과목!$B$6:$B$58,MATCH($E97,계정과목!$A$6:$A$58,0)),"미등록"))</f>
        <v/>
      </c>
      <c r="M97" s="34" t="str">
        <f>IF($E97="","",IFERROR(INDEX(계정과목!$C$6:$C$58,MATCH($E97,계정과목!$A$6:$A$58,0)),""))</f>
        <v/>
      </c>
      <c r="N97" s="34" t="str">
        <f>IF($E97="","",IFERROR(INDEX(계정과목!$D$6:$D$58,MATCH($E97,계정과목!$A$6:$A$58,0)),""))</f>
        <v/>
      </c>
      <c r="O97" s="34" t="str">
        <f>IF($E97="","",IF(COUNTIF(계정과목!$A$6:$A$58,$E97)=0,"미등록","정상"))</f>
        <v/>
      </c>
      <c r="P97" s="36" t="str">
        <f>IF($A97="","",ROUND(SUMIFS(전표!$F$7:$F$282,전표!$A$7:$A$282,$A97)-SUMIFS(전표!$G$7:$G$282,전표!$A$7:$A$282,$A97),0))</f>
        <v/>
      </c>
      <c r="Q97" s="10">
        <f t="shared" si="3"/>
        <v>0</v>
      </c>
      <c r="R97" t="str">
        <f t="shared" si="5"/>
        <v/>
      </c>
    </row>
    <row r="98" spans="1:18" ht="20" customHeight="1">
      <c r="A98" s="29"/>
      <c r="B98" s="31"/>
      <c r="C98" s="26"/>
      <c r="D98" s="33"/>
      <c r="E98" s="26"/>
      <c r="F98" s="27"/>
      <c r="G98" s="27"/>
      <c r="H98" s="27"/>
      <c r="I98" s="33"/>
      <c r="J98" s="33"/>
      <c r="K98" s="34" t="str">
        <f t="shared" si="4"/>
        <v/>
      </c>
      <c r="L98" s="35" t="str">
        <f>IF($E98="","",IFERROR(INDEX(계정과목!$B$6:$B$58,MATCH($E98,계정과목!$A$6:$A$58,0)),"미등록"))</f>
        <v/>
      </c>
      <c r="M98" s="34" t="str">
        <f>IF($E98="","",IFERROR(INDEX(계정과목!$C$6:$C$58,MATCH($E98,계정과목!$A$6:$A$58,0)),""))</f>
        <v/>
      </c>
      <c r="N98" s="34" t="str">
        <f>IF($E98="","",IFERROR(INDEX(계정과목!$D$6:$D$58,MATCH($E98,계정과목!$A$6:$A$58,0)),""))</f>
        <v/>
      </c>
      <c r="O98" s="34" t="str">
        <f>IF($E98="","",IF(COUNTIF(계정과목!$A$6:$A$58,$E98)=0,"미등록","정상"))</f>
        <v/>
      </c>
      <c r="P98" s="36" t="str">
        <f>IF($A98="","",ROUND(SUMIFS(전표!$F$7:$F$282,전표!$A$7:$A$282,$A98)-SUMIFS(전표!$G$7:$G$282,전표!$A$7:$A$282,$A98),0))</f>
        <v/>
      </c>
      <c r="Q98" s="10">
        <f t="shared" si="3"/>
        <v>0</v>
      </c>
      <c r="R98" t="str">
        <f t="shared" si="5"/>
        <v/>
      </c>
    </row>
    <row r="99" spans="1:18" ht="20" customHeight="1">
      <c r="A99" s="29"/>
      <c r="B99" s="31"/>
      <c r="C99" s="26"/>
      <c r="D99" s="33"/>
      <c r="E99" s="26"/>
      <c r="F99" s="27"/>
      <c r="G99" s="27"/>
      <c r="H99" s="27"/>
      <c r="I99" s="33"/>
      <c r="J99" s="33"/>
      <c r="K99" s="34" t="str">
        <f t="shared" si="4"/>
        <v/>
      </c>
      <c r="L99" s="35" t="str">
        <f>IF($E99="","",IFERROR(INDEX(계정과목!$B$6:$B$58,MATCH($E99,계정과목!$A$6:$A$58,0)),"미등록"))</f>
        <v/>
      </c>
      <c r="M99" s="34" t="str">
        <f>IF($E99="","",IFERROR(INDEX(계정과목!$C$6:$C$58,MATCH($E99,계정과목!$A$6:$A$58,0)),""))</f>
        <v/>
      </c>
      <c r="N99" s="34" t="str">
        <f>IF($E99="","",IFERROR(INDEX(계정과목!$D$6:$D$58,MATCH($E99,계정과목!$A$6:$A$58,0)),""))</f>
        <v/>
      </c>
      <c r="O99" s="34" t="str">
        <f>IF($E99="","",IF(COUNTIF(계정과목!$A$6:$A$58,$E99)=0,"미등록","정상"))</f>
        <v/>
      </c>
      <c r="P99" s="36" t="str">
        <f>IF($A99="","",ROUND(SUMIFS(전표!$F$7:$F$282,전표!$A$7:$A$282,$A99)-SUMIFS(전표!$G$7:$G$282,전표!$A$7:$A$282,$A99),0))</f>
        <v/>
      </c>
      <c r="Q99" s="10">
        <f t="shared" si="3"/>
        <v>0</v>
      </c>
      <c r="R99" t="str">
        <f t="shared" si="5"/>
        <v/>
      </c>
    </row>
    <row r="100" spans="1:18" ht="20" customHeight="1">
      <c r="A100" s="29"/>
      <c r="B100" s="31"/>
      <c r="C100" s="26"/>
      <c r="D100" s="33"/>
      <c r="E100" s="26"/>
      <c r="F100" s="27"/>
      <c r="G100" s="27"/>
      <c r="H100" s="27"/>
      <c r="I100" s="33"/>
      <c r="J100" s="33"/>
      <c r="K100" s="34" t="str">
        <f t="shared" si="4"/>
        <v/>
      </c>
      <c r="L100" s="35" t="str">
        <f>IF($E100="","",IFERROR(INDEX(계정과목!$B$6:$B$58,MATCH($E100,계정과목!$A$6:$A$58,0)),"미등록"))</f>
        <v/>
      </c>
      <c r="M100" s="34" t="str">
        <f>IF($E100="","",IFERROR(INDEX(계정과목!$C$6:$C$58,MATCH($E100,계정과목!$A$6:$A$58,0)),""))</f>
        <v/>
      </c>
      <c r="N100" s="34" t="str">
        <f>IF($E100="","",IFERROR(INDEX(계정과목!$D$6:$D$58,MATCH($E100,계정과목!$A$6:$A$58,0)),""))</f>
        <v/>
      </c>
      <c r="O100" s="34" t="str">
        <f>IF($E100="","",IF(COUNTIF(계정과목!$A$6:$A$58,$E100)=0,"미등록","정상"))</f>
        <v/>
      </c>
      <c r="P100" s="36" t="str">
        <f>IF($A100="","",ROUND(SUMIFS(전표!$F$7:$F$282,전표!$A$7:$A$282,$A100)-SUMIFS(전표!$G$7:$G$282,전표!$A$7:$A$282,$A100),0))</f>
        <v/>
      </c>
      <c r="Q100" s="10">
        <f t="shared" si="3"/>
        <v>0</v>
      </c>
      <c r="R100" t="str">
        <f t="shared" si="5"/>
        <v/>
      </c>
    </row>
    <row r="101" spans="1:18" ht="20" customHeight="1">
      <c r="A101" s="29"/>
      <c r="B101" s="31"/>
      <c r="C101" s="26"/>
      <c r="D101" s="33"/>
      <c r="E101" s="26"/>
      <c r="F101" s="27"/>
      <c r="G101" s="27"/>
      <c r="H101" s="27"/>
      <c r="I101" s="33"/>
      <c r="J101" s="33"/>
      <c r="K101" s="34" t="str">
        <f t="shared" si="4"/>
        <v/>
      </c>
      <c r="L101" s="35" t="str">
        <f>IF($E101="","",IFERROR(INDEX(계정과목!$B$6:$B$58,MATCH($E101,계정과목!$A$6:$A$58,0)),"미등록"))</f>
        <v/>
      </c>
      <c r="M101" s="34" t="str">
        <f>IF($E101="","",IFERROR(INDEX(계정과목!$C$6:$C$58,MATCH($E101,계정과목!$A$6:$A$58,0)),""))</f>
        <v/>
      </c>
      <c r="N101" s="34" t="str">
        <f>IF($E101="","",IFERROR(INDEX(계정과목!$D$6:$D$58,MATCH($E101,계정과목!$A$6:$A$58,0)),""))</f>
        <v/>
      </c>
      <c r="O101" s="34" t="str">
        <f>IF($E101="","",IF(COUNTIF(계정과목!$A$6:$A$58,$E101)=0,"미등록","정상"))</f>
        <v/>
      </c>
      <c r="P101" s="36" t="str">
        <f>IF($A101="","",ROUND(SUMIFS(전표!$F$7:$F$282,전표!$A$7:$A$282,$A101)-SUMIFS(전표!$G$7:$G$282,전표!$A$7:$A$282,$A101),0))</f>
        <v/>
      </c>
      <c r="Q101" s="10">
        <f t="shared" si="3"/>
        <v>0</v>
      </c>
      <c r="R101" t="str">
        <f t="shared" si="5"/>
        <v/>
      </c>
    </row>
    <row r="102" spans="1:18" ht="20" customHeight="1">
      <c r="A102" s="29"/>
      <c r="B102" s="31"/>
      <c r="C102" s="26"/>
      <c r="D102" s="33"/>
      <c r="E102" s="26"/>
      <c r="F102" s="27"/>
      <c r="G102" s="27"/>
      <c r="H102" s="27"/>
      <c r="I102" s="33"/>
      <c r="J102" s="33"/>
      <c r="K102" s="34" t="str">
        <f t="shared" si="4"/>
        <v/>
      </c>
      <c r="L102" s="35" t="str">
        <f>IF($E102="","",IFERROR(INDEX(계정과목!$B$6:$B$58,MATCH($E102,계정과목!$A$6:$A$58,0)),"미등록"))</f>
        <v/>
      </c>
      <c r="M102" s="34" t="str">
        <f>IF($E102="","",IFERROR(INDEX(계정과목!$C$6:$C$58,MATCH($E102,계정과목!$A$6:$A$58,0)),""))</f>
        <v/>
      </c>
      <c r="N102" s="34" t="str">
        <f>IF($E102="","",IFERROR(INDEX(계정과목!$D$6:$D$58,MATCH($E102,계정과목!$A$6:$A$58,0)),""))</f>
        <v/>
      </c>
      <c r="O102" s="34" t="str">
        <f>IF($E102="","",IF(COUNTIF(계정과목!$A$6:$A$58,$E102)=0,"미등록","정상"))</f>
        <v/>
      </c>
      <c r="P102" s="36" t="str">
        <f>IF($A102="","",ROUND(SUMIFS(전표!$F$7:$F$282,전표!$A$7:$A$282,$A102)-SUMIFS(전표!$G$7:$G$282,전표!$A$7:$A$282,$A102),0))</f>
        <v/>
      </c>
      <c r="Q102" s="10">
        <f t="shared" si="3"/>
        <v>0</v>
      </c>
      <c r="R102" t="str">
        <f t="shared" si="5"/>
        <v/>
      </c>
    </row>
    <row r="103" spans="1:18" ht="20" customHeight="1">
      <c r="A103" s="29"/>
      <c r="B103" s="31"/>
      <c r="C103" s="26"/>
      <c r="D103" s="33"/>
      <c r="E103" s="26"/>
      <c r="F103" s="27"/>
      <c r="G103" s="27"/>
      <c r="H103" s="27"/>
      <c r="I103" s="33"/>
      <c r="J103" s="33"/>
      <c r="K103" s="34" t="str">
        <f t="shared" si="4"/>
        <v/>
      </c>
      <c r="L103" s="35" t="str">
        <f>IF($E103="","",IFERROR(INDEX(계정과목!$B$6:$B$58,MATCH($E103,계정과목!$A$6:$A$58,0)),"미등록"))</f>
        <v/>
      </c>
      <c r="M103" s="34" t="str">
        <f>IF($E103="","",IFERROR(INDEX(계정과목!$C$6:$C$58,MATCH($E103,계정과목!$A$6:$A$58,0)),""))</f>
        <v/>
      </c>
      <c r="N103" s="34" t="str">
        <f>IF($E103="","",IFERROR(INDEX(계정과목!$D$6:$D$58,MATCH($E103,계정과목!$A$6:$A$58,0)),""))</f>
        <v/>
      </c>
      <c r="O103" s="34" t="str">
        <f>IF($E103="","",IF(COUNTIF(계정과목!$A$6:$A$58,$E103)=0,"미등록","정상"))</f>
        <v/>
      </c>
      <c r="P103" s="36" t="str">
        <f>IF($A103="","",ROUND(SUMIFS(전표!$F$7:$F$282,전표!$A$7:$A$282,$A103)-SUMIFS(전표!$G$7:$G$282,전표!$A$7:$A$282,$A103),0))</f>
        <v/>
      </c>
      <c r="Q103" s="10">
        <f t="shared" si="3"/>
        <v>0</v>
      </c>
      <c r="R103" t="str">
        <f t="shared" si="5"/>
        <v/>
      </c>
    </row>
    <row r="104" spans="1:18" ht="20" customHeight="1">
      <c r="A104" s="29"/>
      <c r="B104" s="31"/>
      <c r="C104" s="26"/>
      <c r="D104" s="33"/>
      <c r="E104" s="26"/>
      <c r="F104" s="27"/>
      <c r="G104" s="27"/>
      <c r="H104" s="27"/>
      <c r="I104" s="33"/>
      <c r="J104" s="33"/>
      <c r="K104" s="34" t="str">
        <f t="shared" si="4"/>
        <v/>
      </c>
      <c r="L104" s="35" t="str">
        <f>IF($E104="","",IFERROR(INDEX(계정과목!$B$6:$B$58,MATCH($E104,계정과목!$A$6:$A$58,0)),"미등록"))</f>
        <v/>
      </c>
      <c r="M104" s="34" t="str">
        <f>IF($E104="","",IFERROR(INDEX(계정과목!$C$6:$C$58,MATCH($E104,계정과목!$A$6:$A$58,0)),""))</f>
        <v/>
      </c>
      <c r="N104" s="34" t="str">
        <f>IF($E104="","",IFERROR(INDEX(계정과목!$D$6:$D$58,MATCH($E104,계정과목!$A$6:$A$58,0)),""))</f>
        <v/>
      </c>
      <c r="O104" s="34" t="str">
        <f>IF($E104="","",IF(COUNTIF(계정과목!$A$6:$A$58,$E104)=0,"미등록","정상"))</f>
        <v/>
      </c>
      <c r="P104" s="36" t="str">
        <f>IF($A104="","",ROUND(SUMIFS(전표!$F$7:$F$282,전표!$A$7:$A$282,$A104)-SUMIFS(전표!$G$7:$G$282,전표!$A$7:$A$282,$A104),0))</f>
        <v/>
      </c>
      <c r="Q104" s="10">
        <f t="shared" si="3"/>
        <v>0</v>
      </c>
      <c r="R104" t="str">
        <f t="shared" si="5"/>
        <v/>
      </c>
    </row>
    <row r="105" spans="1:18" ht="20" customHeight="1">
      <c r="A105" s="29"/>
      <c r="B105" s="31"/>
      <c r="C105" s="26"/>
      <c r="D105" s="33"/>
      <c r="E105" s="26"/>
      <c r="F105" s="27"/>
      <c r="G105" s="27"/>
      <c r="H105" s="27"/>
      <c r="I105" s="33"/>
      <c r="J105" s="33"/>
      <c r="K105" s="34" t="str">
        <f t="shared" si="4"/>
        <v/>
      </c>
      <c r="L105" s="35" t="str">
        <f>IF($E105="","",IFERROR(INDEX(계정과목!$B$6:$B$58,MATCH($E105,계정과목!$A$6:$A$58,0)),"미등록"))</f>
        <v/>
      </c>
      <c r="M105" s="34" t="str">
        <f>IF($E105="","",IFERROR(INDEX(계정과목!$C$6:$C$58,MATCH($E105,계정과목!$A$6:$A$58,0)),""))</f>
        <v/>
      </c>
      <c r="N105" s="34" t="str">
        <f>IF($E105="","",IFERROR(INDEX(계정과목!$D$6:$D$58,MATCH($E105,계정과목!$A$6:$A$58,0)),""))</f>
        <v/>
      </c>
      <c r="O105" s="34" t="str">
        <f>IF($E105="","",IF(COUNTIF(계정과목!$A$6:$A$58,$E105)=0,"미등록","정상"))</f>
        <v/>
      </c>
      <c r="P105" s="36" t="str">
        <f>IF($A105="","",ROUND(SUMIFS(전표!$F$7:$F$282,전표!$A$7:$A$282,$A105)-SUMIFS(전표!$G$7:$G$282,전표!$A$7:$A$282,$A105),0))</f>
        <v/>
      </c>
      <c r="Q105" s="10">
        <f t="shared" si="3"/>
        <v>0</v>
      </c>
      <c r="R105" t="str">
        <f t="shared" si="5"/>
        <v/>
      </c>
    </row>
    <row r="106" spans="1:18" ht="20" customHeight="1">
      <c r="A106" s="29"/>
      <c r="B106" s="31"/>
      <c r="C106" s="26"/>
      <c r="D106" s="33"/>
      <c r="E106" s="26"/>
      <c r="F106" s="27"/>
      <c r="G106" s="27"/>
      <c r="H106" s="27"/>
      <c r="I106" s="33"/>
      <c r="J106" s="33"/>
      <c r="K106" s="34" t="str">
        <f t="shared" si="4"/>
        <v/>
      </c>
      <c r="L106" s="35" t="str">
        <f>IF($E106="","",IFERROR(INDEX(계정과목!$B$6:$B$58,MATCH($E106,계정과목!$A$6:$A$58,0)),"미등록"))</f>
        <v/>
      </c>
      <c r="M106" s="34" t="str">
        <f>IF($E106="","",IFERROR(INDEX(계정과목!$C$6:$C$58,MATCH($E106,계정과목!$A$6:$A$58,0)),""))</f>
        <v/>
      </c>
      <c r="N106" s="34" t="str">
        <f>IF($E106="","",IFERROR(INDEX(계정과목!$D$6:$D$58,MATCH($E106,계정과목!$A$6:$A$58,0)),""))</f>
        <v/>
      </c>
      <c r="O106" s="34" t="str">
        <f>IF($E106="","",IF(COUNTIF(계정과목!$A$6:$A$58,$E106)=0,"미등록","정상"))</f>
        <v/>
      </c>
      <c r="P106" s="36" t="str">
        <f>IF($A106="","",ROUND(SUMIFS(전표!$F$7:$F$282,전표!$A$7:$A$282,$A106)-SUMIFS(전표!$G$7:$G$282,전표!$A$7:$A$282,$A106),0))</f>
        <v/>
      </c>
      <c r="Q106" s="10">
        <f t="shared" si="3"/>
        <v>0</v>
      </c>
      <c r="R106" t="str">
        <f t="shared" si="5"/>
        <v/>
      </c>
    </row>
    <row r="107" spans="1:18" ht="20" customHeight="1">
      <c r="A107" s="29"/>
      <c r="B107" s="31"/>
      <c r="C107" s="26"/>
      <c r="D107" s="33"/>
      <c r="E107" s="26"/>
      <c r="F107" s="27"/>
      <c r="G107" s="27"/>
      <c r="H107" s="27"/>
      <c r="I107" s="33"/>
      <c r="J107" s="33"/>
      <c r="K107" s="34" t="str">
        <f t="shared" si="4"/>
        <v/>
      </c>
      <c r="L107" s="35" t="str">
        <f>IF($E107="","",IFERROR(INDEX(계정과목!$B$6:$B$58,MATCH($E107,계정과목!$A$6:$A$58,0)),"미등록"))</f>
        <v/>
      </c>
      <c r="M107" s="34" t="str">
        <f>IF($E107="","",IFERROR(INDEX(계정과목!$C$6:$C$58,MATCH($E107,계정과목!$A$6:$A$58,0)),""))</f>
        <v/>
      </c>
      <c r="N107" s="34" t="str">
        <f>IF($E107="","",IFERROR(INDEX(계정과목!$D$6:$D$58,MATCH($E107,계정과목!$A$6:$A$58,0)),""))</f>
        <v/>
      </c>
      <c r="O107" s="34" t="str">
        <f>IF($E107="","",IF(COUNTIF(계정과목!$A$6:$A$58,$E107)=0,"미등록","정상"))</f>
        <v/>
      </c>
      <c r="P107" s="36" t="str">
        <f>IF($A107="","",ROUND(SUMIFS(전표!$F$7:$F$282,전표!$A$7:$A$282,$A107)-SUMIFS(전표!$G$7:$G$282,전표!$A$7:$A$282,$A107),0))</f>
        <v/>
      </c>
      <c r="Q107" s="10">
        <f t="shared" si="3"/>
        <v>0</v>
      </c>
      <c r="R107" t="str">
        <f t="shared" si="5"/>
        <v/>
      </c>
    </row>
    <row r="108" spans="1:18" ht="20" customHeight="1">
      <c r="A108" s="29"/>
      <c r="B108" s="31"/>
      <c r="C108" s="26"/>
      <c r="D108" s="33"/>
      <c r="E108" s="26"/>
      <c r="F108" s="27"/>
      <c r="G108" s="27"/>
      <c r="H108" s="27"/>
      <c r="I108" s="33"/>
      <c r="J108" s="33"/>
      <c r="K108" s="34" t="str">
        <f t="shared" si="4"/>
        <v/>
      </c>
      <c r="L108" s="35" t="str">
        <f>IF($E108="","",IFERROR(INDEX(계정과목!$B$6:$B$58,MATCH($E108,계정과목!$A$6:$A$58,0)),"미등록"))</f>
        <v/>
      </c>
      <c r="M108" s="34" t="str">
        <f>IF($E108="","",IFERROR(INDEX(계정과목!$C$6:$C$58,MATCH($E108,계정과목!$A$6:$A$58,0)),""))</f>
        <v/>
      </c>
      <c r="N108" s="34" t="str">
        <f>IF($E108="","",IFERROR(INDEX(계정과목!$D$6:$D$58,MATCH($E108,계정과목!$A$6:$A$58,0)),""))</f>
        <v/>
      </c>
      <c r="O108" s="34" t="str">
        <f>IF($E108="","",IF(COUNTIF(계정과목!$A$6:$A$58,$E108)=0,"미등록","정상"))</f>
        <v/>
      </c>
      <c r="P108" s="36" t="str">
        <f>IF($A108="","",ROUND(SUMIFS(전표!$F$7:$F$282,전표!$A$7:$A$282,$A108)-SUMIFS(전표!$G$7:$G$282,전표!$A$7:$A$282,$A108),0))</f>
        <v/>
      </c>
      <c r="Q108" s="10">
        <f t="shared" si="3"/>
        <v>0</v>
      </c>
      <c r="R108" t="str">
        <f t="shared" si="5"/>
        <v/>
      </c>
    </row>
    <row r="109" spans="1:18" ht="20" customHeight="1">
      <c r="A109" s="29"/>
      <c r="B109" s="31"/>
      <c r="C109" s="26"/>
      <c r="D109" s="33"/>
      <c r="E109" s="26"/>
      <c r="F109" s="27"/>
      <c r="G109" s="27"/>
      <c r="H109" s="27"/>
      <c r="I109" s="33"/>
      <c r="J109" s="33"/>
      <c r="K109" s="34" t="str">
        <f t="shared" si="4"/>
        <v/>
      </c>
      <c r="L109" s="35" t="str">
        <f>IF($E109="","",IFERROR(INDEX(계정과목!$B$6:$B$58,MATCH($E109,계정과목!$A$6:$A$58,0)),"미등록"))</f>
        <v/>
      </c>
      <c r="M109" s="34" t="str">
        <f>IF($E109="","",IFERROR(INDEX(계정과목!$C$6:$C$58,MATCH($E109,계정과목!$A$6:$A$58,0)),""))</f>
        <v/>
      </c>
      <c r="N109" s="34" t="str">
        <f>IF($E109="","",IFERROR(INDEX(계정과목!$D$6:$D$58,MATCH($E109,계정과목!$A$6:$A$58,0)),""))</f>
        <v/>
      </c>
      <c r="O109" s="34" t="str">
        <f>IF($E109="","",IF(COUNTIF(계정과목!$A$6:$A$58,$E109)=0,"미등록","정상"))</f>
        <v/>
      </c>
      <c r="P109" s="36" t="str">
        <f>IF($A109="","",ROUND(SUMIFS(전표!$F$7:$F$282,전표!$A$7:$A$282,$A109)-SUMIFS(전표!$G$7:$G$282,전표!$A$7:$A$282,$A109),0))</f>
        <v/>
      </c>
      <c r="Q109" s="10">
        <f t="shared" si="3"/>
        <v>0</v>
      </c>
      <c r="R109" t="str">
        <f t="shared" si="5"/>
        <v/>
      </c>
    </row>
    <row r="110" spans="1:18" ht="20" customHeight="1">
      <c r="A110" s="29"/>
      <c r="B110" s="31"/>
      <c r="C110" s="26"/>
      <c r="D110" s="33"/>
      <c r="E110" s="26"/>
      <c r="F110" s="27"/>
      <c r="G110" s="27"/>
      <c r="H110" s="27"/>
      <c r="I110" s="33"/>
      <c r="J110" s="33"/>
      <c r="K110" s="34" t="str">
        <f t="shared" si="4"/>
        <v/>
      </c>
      <c r="L110" s="35" t="str">
        <f>IF($E110="","",IFERROR(INDEX(계정과목!$B$6:$B$58,MATCH($E110,계정과목!$A$6:$A$58,0)),"미등록"))</f>
        <v/>
      </c>
      <c r="M110" s="34" t="str">
        <f>IF($E110="","",IFERROR(INDEX(계정과목!$C$6:$C$58,MATCH($E110,계정과목!$A$6:$A$58,0)),""))</f>
        <v/>
      </c>
      <c r="N110" s="34" t="str">
        <f>IF($E110="","",IFERROR(INDEX(계정과목!$D$6:$D$58,MATCH($E110,계정과목!$A$6:$A$58,0)),""))</f>
        <v/>
      </c>
      <c r="O110" s="34" t="str">
        <f>IF($E110="","",IF(COUNTIF(계정과목!$A$6:$A$58,$E110)=0,"미등록","정상"))</f>
        <v/>
      </c>
      <c r="P110" s="36" t="str">
        <f>IF($A110="","",ROUND(SUMIFS(전표!$F$7:$F$282,전표!$A$7:$A$282,$A110)-SUMIFS(전표!$G$7:$G$282,전표!$A$7:$A$282,$A110),0))</f>
        <v/>
      </c>
      <c r="Q110" s="10">
        <f t="shared" si="3"/>
        <v>0</v>
      </c>
      <c r="R110" t="str">
        <f t="shared" si="5"/>
        <v/>
      </c>
    </row>
    <row r="111" spans="1:18" ht="20" customHeight="1">
      <c r="A111" s="29"/>
      <c r="B111" s="31"/>
      <c r="C111" s="26"/>
      <c r="D111" s="33"/>
      <c r="E111" s="26"/>
      <c r="F111" s="27"/>
      <c r="G111" s="27"/>
      <c r="H111" s="27"/>
      <c r="I111" s="33"/>
      <c r="J111" s="33"/>
      <c r="K111" s="34" t="str">
        <f t="shared" si="4"/>
        <v/>
      </c>
      <c r="L111" s="35" t="str">
        <f>IF($E111="","",IFERROR(INDEX(계정과목!$B$6:$B$58,MATCH($E111,계정과목!$A$6:$A$58,0)),"미등록"))</f>
        <v/>
      </c>
      <c r="M111" s="34" t="str">
        <f>IF($E111="","",IFERROR(INDEX(계정과목!$C$6:$C$58,MATCH($E111,계정과목!$A$6:$A$58,0)),""))</f>
        <v/>
      </c>
      <c r="N111" s="34" t="str">
        <f>IF($E111="","",IFERROR(INDEX(계정과목!$D$6:$D$58,MATCH($E111,계정과목!$A$6:$A$58,0)),""))</f>
        <v/>
      </c>
      <c r="O111" s="34" t="str">
        <f>IF($E111="","",IF(COUNTIF(계정과목!$A$6:$A$58,$E111)=0,"미등록","정상"))</f>
        <v/>
      </c>
      <c r="P111" s="36" t="str">
        <f>IF($A111="","",ROUND(SUMIFS(전표!$F$7:$F$282,전표!$A$7:$A$282,$A111)-SUMIFS(전표!$G$7:$G$282,전표!$A$7:$A$282,$A111),0))</f>
        <v/>
      </c>
      <c r="Q111" s="10">
        <f t="shared" ref="Q111:Q174" si="6">IF(ISNUMBER($P111),IF(ABS($P111)&gt;=1,1,0),0)</f>
        <v>0</v>
      </c>
      <c r="R111" t="str">
        <f t="shared" si="5"/>
        <v/>
      </c>
    </row>
    <row r="112" spans="1:18" ht="20" customHeight="1">
      <c r="A112" s="29"/>
      <c r="B112" s="31"/>
      <c r="C112" s="26"/>
      <c r="D112" s="33"/>
      <c r="E112" s="26"/>
      <c r="F112" s="27"/>
      <c r="G112" s="27"/>
      <c r="H112" s="27"/>
      <c r="I112" s="33"/>
      <c r="J112" s="33"/>
      <c r="K112" s="34" t="str">
        <f t="shared" si="4"/>
        <v/>
      </c>
      <c r="L112" s="35" t="str">
        <f>IF($E112="","",IFERROR(INDEX(계정과목!$B$6:$B$58,MATCH($E112,계정과목!$A$6:$A$58,0)),"미등록"))</f>
        <v/>
      </c>
      <c r="M112" s="34" t="str">
        <f>IF($E112="","",IFERROR(INDEX(계정과목!$C$6:$C$58,MATCH($E112,계정과목!$A$6:$A$58,0)),""))</f>
        <v/>
      </c>
      <c r="N112" s="34" t="str">
        <f>IF($E112="","",IFERROR(INDEX(계정과목!$D$6:$D$58,MATCH($E112,계정과목!$A$6:$A$58,0)),""))</f>
        <v/>
      </c>
      <c r="O112" s="34" t="str">
        <f>IF($E112="","",IF(COUNTIF(계정과목!$A$6:$A$58,$E112)=0,"미등록","정상"))</f>
        <v/>
      </c>
      <c r="P112" s="36" t="str">
        <f>IF($A112="","",ROUND(SUMIFS(전표!$F$7:$F$282,전표!$A$7:$A$282,$A112)-SUMIFS(전표!$G$7:$G$282,전표!$A$7:$A$282,$A112),0))</f>
        <v/>
      </c>
      <c r="Q112" s="10">
        <f t="shared" si="6"/>
        <v>0</v>
      </c>
      <c r="R112" t="str">
        <f t="shared" si="5"/>
        <v/>
      </c>
    </row>
    <row r="113" spans="1:18" ht="20" customHeight="1">
      <c r="A113" s="29"/>
      <c r="B113" s="31"/>
      <c r="C113" s="26"/>
      <c r="D113" s="33"/>
      <c r="E113" s="26"/>
      <c r="F113" s="27"/>
      <c r="G113" s="27"/>
      <c r="H113" s="27"/>
      <c r="I113" s="33"/>
      <c r="J113" s="33"/>
      <c r="K113" s="34" t="str">
        <f t="shared" si="4"/>
        <v/>
      </c>
      <c r="L113" s="35" t="str">
        <f>IF($E113="","",IFERROR(INDEX(계정과목!$B$6:$B$58,MATCH($E113,계정과목!$A$6:$A$58,0)),"미등록"))</f>
        <v/>
      </c>
      <c r="M113" s="34" t="str">
        <f>IF($E113="","",IFERROR(INDEX(계정과목!$C$6:$C$58,MATCH($E113,계정과목!$A$6:$A$58,0)),""))</f>
        <v/>
      </c>
      <c r="N113" s="34" t="str">
        <f>IF($E113="","",IFERROR(INDEX(계정과목!$D$6:$D$58,MATCH($E113,계정과목!$A$6:$A$58,0)),""))</f>
        <v/>
      </c>
      <c r="O113" s="34" t="str">
        <f>IF($E113="","",IF(COUNTIF(계정과목!$A$6:$A$58,$E113)=0,"미등록","정상"))</f>
        <v/>
      </c>
      <c r="P113" s="36" t="str">
        <f>IF($A113="","",ROUND(SUMIFS(전표!$F$7:$F$282,전표!$A$7:$A$282,$A113)-SUMIFS(전표!$G$7:$G$282,전표!$A$7:$A$282,$A113),0))</f>
        <v/>
      </c>
      <c r="Q113" s="10">
        <f t="shared" si="6"/>
        <v>0</v>
      </c>
      <c r="R113" t="str">
        <f t="shared" si="5"/>
        <v/>
      </c>
    </row>
    <row r="114" spans="1:18" ht="20" customHeight="1">
      <c r="A114" s="29"/>
      <c r="B114" s="31"/>
      <c r="C114" s="26"/>
      <c r="D114" s="33"/>
      <c r="E114" s="26"/>
      <c r="F114" s="27"/>
      <c r="G114" s="27"/>
      <c r="H114" s="27"/>
      <c r="I114" s="33"/>
      <c r="J114" s="33"/>
      <c r="K114" s="34" t="str">
        <f t="shared" si="4"/>
        <v/>
      </c>
      <c r="L114" s="35" t="str">
        <f>IF($E114="","",IFERROR(INDEX(계정과목!$B$6:$B$58,MATCH($E114,계정과목!$A$6:$A$58,0)),"미등록"))</f>
        <v/>
      </c>
      <c r="M114" s="34" t="str">
        <f>IF($E114="","",IFERROR(INDEX(계정과목!$C$6:$C$58,MATCH($E114,계정과목!$A$6:$A$58,0)),""))</f>
        <v/>
      </c>
      <c r="N114" s="34" t="str">
        <f>IF($E114="","",IFERROR(INDEX(계정과목!$D$6:$D$58,MATCH($E114,계정과목!$A$6:$A$58,0)),""))</f>
        <v/>
      </c>
      <c r="O114" s="34" t="str">
        <f>IF($E114="","",IF(COUNTIF(계정과목!$A$6:$A$58,$E114)=0,"미등록","정상"))</f>
        <v/>
      </c>
      <c r="P114" s="36" t="str">
        <f>IF($A114="","",ROUND(SUMIFS(전표!$F$7:$F$282,전표!$A$7:$A$282,$A114)-SUMIFS(전표!$G$7:$G$282,전표!$A$7:$A$282,$A114),0))</f>
        <v/>
      </c>
      <c r="Q114" s="10">
        <f t="shared" si="6"/>
        <v>0</v>
      </c>
      <c r="R114" t="str">
        <f t="shared" si="5"/>
        <v/>
      </c>
    </row>
    <row r="115" spans="1:18" ht="20" customHeight="1">
      <c r="A115" s="29"/>
      <c r="B115" s="31"/>
      <c r="C115" s="26"/>
      <c r="D115" s="33"/>
      <c r="E115" s="26"/>
      <c r="F115" s="27"/>
      <c r="G115" s="27"/>
      <c r="H115" s="27"/>
      <c r="I115" s="33"/>
      <c r="J115" s="33"/>
      <c r="K115" s="34" t="str">
        <f t="shared" si="4"/>
        <v/>
      </c>
      <c r="L115" s="35" t="str">
        <f>IF($E115="","",IFERROR(INDEX(계정과목!$B$6:$B$58,MATCH($E115,계정과목!$A$6:$A$58,0)),"미등록"))</f>
        <v/>
      </c>
      <c r="M115" s="34" t="str">
        <f>IF($E115="","",IFERROR(INDEX(계정과목!$C$6:$C$58,MATCH($E115,계정과목!$A$6:$A$58,0)),""))</f>
        <v/>
      </c>
      <c r="N115" s="34" t="str">
        <f>IF($E115="","",IFERROR(INDEX(계정과목!$D$6:$D$58,MATCH($E115,계정과목!$A$6:$A$58,0)),""))</f>
        <v/>
      </c>
      <c r="O115" s="34" t="str">
        <f>IF($E115="","",IF(COUNTIF(계정과목!$A$6:$A$58,$E115)=0,"미등록","정상"))</f>
        <v/>
      </c>
      <c r="P115" s="36" t="str">
        <f>IF($A115="","",ROUND(SUMIFS(전표!$F$7:$F$282,전표!$A$7:$A$282,$A115)-SUMIFS(전표!$G$7:$G$282,전표!$A$7:$A$282,$A115),0))</f>
        <v/>
      </c>
      <c r="Q115" s="10">
        <f t="shared" si="6"/>
        <v>0</v>
      </c>
      <c r="R115" t="str">
        <f t="shared" si="5"/>
        <v/>
      </c>
    </row>
    <row r="116" spans="1:18" ht="20" customHeight="1">
      <c r="A116" s="29"/>
      <c r="B116" s="31"/>
      <c r="C116" s="26"/>
      <c r="D116" s="33"/>
      <c r="E116" s="26"/>
      <c r="F116" s="27"/>
      <c r="G116" s="27"/>
      <c r="H116" s="27"/>
      <c r="I116" s="33"/>
      <c r="J116" s="33"/>
      <c r="K116" s="34" t="str">
        <f t="shared" si="4"/>
        <v/>
      </c>
      <c r="L116" s="35" t="str">
        <f>IF($E116="","",IFERROR(INDEX(계정과목!$B$6:$B$58,MATCH($E116,계정과목!$A$6:$A$58,0)),"미등록"))</f>
        <v/>
      </c>
      <c r="M116" s="34" t="str">
        <f>IF($E116="","",IFERROR(INDEX(계정과목!$C$6:$C$58,MATCH($E116,계정과목!$A$6:$A$58,0)),""))</f>
        <v/>
      </c>
      <c r="N116" s="34" t="str">
        <f>IF($E116="","",IFERROR(INDEX(계정과목!$D$6:$D$58,MATCH($E116,계정과목!$A$6:$A$58,0)),""))</f>
        <v/>
      </c>
      <c r="O116" s="34" t="str">
        <f>IF($E116="","",IF(COUNTIF(계정과목!$A$6:$A$58,$E116)=0,"미등록","정상"))</f>
        <v/>
      </c>
      <c r="P116" s="36" t="str">
        <f>IF($A116="","",ROUND(SUMIFS(전표!$F$7:$F$282,전표!$A$7:$A$282,$A116)-SUMIFS(전표!$G$7:$G$282,전표!$A$7:$A$282,$A116),0))</f>
        <v/>
      </c>
      <c r="Q116" s="10">
        <f t="shared" si="6"/>
        <v>0</v>
      </c>
      <c r="R116" t="str">
        <f t="shared" si="5"/>
        <v/>
      </c>
    </row>
    <row r="117" spans="1:18" ht="20" customHeight="1">
      <c r="A117" s="29"/>
      <c r="B117" s="31"/>
      <c r="C117" s="26"/>
      <c r="D117" s="33"/>
      <c r="E117" s="26"/>
      <c r="F117" s="27"/>
      <c r="G117" s="27"/>
      <c r="H117" s="27"/>
      <c r="I117" s="33"/>
      <c r="J117" s="33"/>
      <c r="K117" s="34" t="str">
        <f t="shared" si="4"/>
        <v/>
      </c>
      <c r="L117" s="35" t="str">
        <f>IF($E117="","",IFERROR(INDEX(계정과목!$B$6:$B$58,MATCH($E117,계정과목!$A$6:$A$58,0)),"미등록"))</f>
        <v/>
      </c>
      <c r="M117" s="34" t="str">
        <f>IF($E117="","",IFERROR(INDEX(계정과목!$C$6:$C$58,MATCH($E117,계정과목!$A$6:$A$58,0)),""))</f>
        <v/>
      </c>
      <c r="N117" s="34" t="str">
        <f>IF($E117="","",IFERROR(INDEX(계정과목!$D$6:$D$58,MATCH($E117,계정과목!$A$6:$A$58,0)),""))</f>
        <v/>
      </c>
      <c r="O117" s="34" t="str">
        <f>IF($E117="","",IF(COUNTIF(계정과목!$A$6:$A$58,$E117)=0,"미등록","정상"))</f>
        <v/>
      </c>
      <c r="P117" s="36" t="str">
        <f>IF($A117="","",ROUND(SUMIFS(전표!$F$7:$F$282,전표!$A$7:$A$282,$A117)-SUMIFS(전표!$G$7:$G$282,전표!$A$7:$A$282,$A117),0))</f>
        <v/>
      </c>
      <c r="Q117" s="10">
        <f t="shared" si="6"/>
        <v>0</v>
      </c>
      <c r="R117" t="str">
        <f t="shared" si="5"/>
        <v/>
      </c>
    </row>
    <row r="118" spans="1:18" ht="20" customHeight="1">
      <c r="A118" s="29"/>
      <c r="B118" s="31"/>
      <c r="C118" s="26"/>
      <c r="D118" s="33"/>
      <c r="E118" s="26"/>
      <c r="F118" s="27"/>
      <c r="G118" s="27"/>
      <c r="H118" s="27"/>
      <c r="I118" s="33"/>
      <c r="J118" s="33"/>
      <c r="K118" s="34" t="str">
        <f t="shared" si="4"/>
        <v/>
      </c>
      <c r="L118" s="35" t="str">
        <f>IF($E118="","",IFERROR(INDEX(계정과목!$B$6:$B$58,MATCH($E118,계정과목!$A$6:$A$58,0)),"미등록"))</f>
        <v/>
      </c>
      <c r="M118" s="34" t="str">
        <f>IF($E118="","",IFERROR(INDEX(계정과목!$C$6:$C$58,MATCH($E118,계정과목!$A$6:$A$58,0)),""))</f>
        <v/>
      </c>
      <c r="N118" s="34" t="str">
        <f>IF($E118="","",IFERROR(INDEX(계정과목!$D$6:$D$58,MATCH($E118,계정과목!$A$6:$A$58,0)),""))</f>
        <v/>
      </c>
      <c r="O118" s="34" t="str">
        <f>IF($E118="","",IF(COUNTIF(계정과목!$A$6:$A$58,$E118)=0,"미등록","정상"))</f>
        <v/>
      </c>
      <c r="P118" s="36" t="str">
        <f>IF($A118="","",ROUND(SUMIFS(전표!$F$7:$F$282,전표!$A$7:$A$282,$A118)-SUMIFS(전표!$G$7:$G$282,전표!$A$7:$A$282,$A118),0))</f>
        <v/>
      </c>
      <c r="Q118" s="10">
        <f t="shared" si="6"/>
        <v>0</v>
      </c>
      <c r="R118" t="str">
        <f t="shared" si="5"/>
        <v/>
      </c>
    </row>
    <row r="119" spans="1:18" ht="20" customHeight="1">
      <c r="A119" s="29"/>
      <c r="B119" s="31"/>
      <c r="C119" s="26"/>
      <c r="D119" s="33"/>
      <c r="E119" s="26"/>
      <c r="F119" s="27"/>
      <c r="G119" s="27"/>
      <c r="H119" s="27"/>
      <c r="I119" s="33"/>
      <c r="J119" s="33"/>
      <c r="K119" s="34" t="str">
        <f t="shared" si="4"/>
        <v/>
      </c>
      <c r="L119" s="35" t="str">
        <f>IF($E119="","",IFERROR(INDEX(계정과목!$B$6:$B$58,MATCH($E119,계정과목!$A$6:$A$58,0)),"미등록"))</f>
        <v/>
      </c>
      <c r="M119" s="34" t="str">
        <f>IF($E119="","",IFERROR(INDEX(계정과목!$C$6:$C$58,MATCH($E119,계정과목!$A$6:$A$58,0)),""))</f>
        <v/>
      </c>
      <c r="N119" s="34" t="str">
        <f>IF($E119="","",IFERROR(INDEX(계정과목!$D$6:$D$58,MATCH($E119,계정과목!$A$6:$A$58,0)),""))</f>
        <v/>
      </c>
      <c r="O119" s="34" t="str">
        <f>IF($E119="","",IF(COUNTIF(계정과목!$A$6:$A$58,$E119)=0,"미등록","정상"))</f>
        <v/>
      </c>
      <c r="P119" s="36" t="str">
        <f>IF($A119="","",ROUND(SUMIFS(전표!$F$7:$F$282,전표!$A$7:$A$282,$A119)-SUMIFS(전표!$G$7:$G$282,전표!$A$7:$A$282,$A119),0))</f>
        <v/>
      </c>
      <c r="Q119" s="10">
        <f t="shared" si="6"/>
        <v>0</v>
      </c>
      <c r="R119" t="str">
        <f t="shared" si="5"/>
        <v/>
      </c>
    </row>
    <row r="120" spans="1:18" ht="20" customHeight="1">
      <c r="A120" s="29"/>
      <c r="B120" s="31"/>
      <c r="C120" s="26"/>
      <c r="D120" s="33"/>
      <c r="E120" s="26"/>
      <c r="F120" s="27"/>
      <c r="G120" s="27"/>
      <c r="H120" s="27"/>
      <c r="I120" s="33"/>
      <c r="J120" s="33"/>
      <c r="K120" s="34" t="str">
        <f t="shared" si="4"/>
        <v/>
      </c>
      <c r="L120" s="35" t="str">
        <f>IF($E120="","",IFERROR(INDEX(계정과목!$B$6:$B$58,MATCH($E120,계정과목!$A$6:$A$58,0)),"미등록"))</f>
        <v/>
      </c>
      <c r="M120" s="34" t="str">
        <f>IF($E120="","",IFERROR(INDEX(계정과목!$C$6:$C$58,MATCH($E120,계정과목!$A$6:$A$58,0)),""))</f>
        <v/>
      </c>
      <c r="N120" s="34" t="str">
        <f>IF($E120="","",IFERROR(INDEX(계정과목!$D$6:$D$58,MATCH($E120,계정과목!$A$6:$A$58,0)),""))</f>
        <v/>
      </c>
      <c r="O120" s="34" t="str">
        <f>IF($E120="","",IF(COUNTIF(계정과목!$A$6:$A$58,$E120)=0,"미등록","정상"))</f>
        <v/>
      </c>
      <c r="P120" s="36" t="str">
        <f>IF($A120="","",ROUND(SUMIFS(전표!$F$7:$F$282,전표!$A$7:$A$282,$A120)-SUMIFS(전표!$G$7:$G$282,전표!$A$7:$A$282,$A120),0))</f>
        <v/>
      </c>
      <c r="Q120" s="10">
        <f t="shared" si="6"/>
        <v>0</v>
      </c>
      <c r="R120" t="str">
        <f t="shared" si="5"/>
        <v/>
      </c>
    </row>
    <row r="121" spans="1:18" ht="20" customHeight="1">
      <c r="A121" s="29"/>
      <c r="B121" s="31"/>
      <c r="C121" s="26"/>
      <c r="D121" s="33"/>
      <c r="E121" s="26"/>
      <c r="F121" s="27"/>
      <c r="G121" s="27"/>
      <c r="H121" s="27"/>
      <c r="I121" s="33"/>
      <c r="J121" s="33"/>
      <c r="K121" s="34" t="str">
        <f t="shared" si="4"/>
        <v/>
      </c>
      <c r="L121" s="35" t="str">
        <f>IF($E121="","",IFERROR(INDEX(계정과목!$B$6:$B$58,MATCH($E121,계정과목!$A$6:$A$58,0)),"미등록"))</f>
        <v/>
      </c>
      <c r="M121" s="34" t="str">
        <f>IF($E121="","",IFERROR(INDEX(계정과목!$C$6:$C$58,MATCH($E121,계정과목!$A$6:$A$58,0)),""))</f>
        <v/>
      </c>
      <c r="N121" s="34" t="str">
        <f>IF($E121="","",IFERROR(INDEX(계정과목!$D$6:$D$58,MATCH($E121,계정과목!$A$6:$A$58,0)),""))</f>
        <v/>
      </c>
      <c r="O121" s="34" t="str">
        <f>IF($E121="","",IF(COUNTIF(계정과목!$A$6:$A$58,$E121)=0,"미등록","정상"))</f>
        <v/>
      </c>
      <c r="P121" s="36" t="str">
        <f>IF($A121="","",ROUND(SUMIFS(전표!$F$7:$F$282,전표!$A$7:$A$282,$A121)-SUMIFS(전표!$G$7:$G$282,전표!$A$7:$A$282,$A121),0))</f>
        <v/>
      </c>
      <c r="Q121" s="10">
        <f t="shared" si="6"/>
        <v>0</v>
      </c>
      <c r="R121" t="str">
        <f t="shared" si="5"/>
        <v/>
      </c>
    </row>
    <row r="122" spans="1:18" ht="20" customHeight="1">
      <c r="A122" s="29"/>
      <c r="B122" s="31"/>
      <c r="C122" s="26"/>
      <c r="D122" s="33"/>
      <c r="E122" s="26"/>
      <c r="F122" s="27"/>
      <c r="G122" s="27"/>
      <c r="H122" s="27"/>
      <c r="I122" s="33"/>
      <c r="J122" s="33"/>
      <c r="K122" s="34" t="str">
        <f t="shared" si="4"/>
        <v/>
      </c>
      <c r="L122" s="35" t="str">
        <f>IF($E122="","",IFERROR(INDEX(계정과목!$B$6:$B$58,MATCH($E122,계정과목!$A$6:$A$58,0)),"미등록"))</f>
        <v/>
      </c>
      <c r="M122" s="34" t="str">
        <f>IF($E122="","",IFERROR(INDEX(계정과목!$C$6:$C$58,MATCH($E122,계정과목!$A$6:$A$58,0)),""))</f>
        <v/>
      </c>
      <c r="N122" s="34" t="str">
        <f>IF($E122="","",IFERROR(INDEX(계정과목!$D$6:$D$58,MATCH($E122,계정과목!$A$6:$A$58,0)),""))</f>
        <v/>
      </c>
      <c r="O122" s="34" t="str">
        <f>IF($E122="","",IF(COUNTIF(계정과목!$A$6:$A$58,$E122)=0,"미등록","정상"))</f>
        <v/>
      </c>
      <c r="P122" s="36" t="str">
        <f>IF($A122="","",ROUND(SUMIFS(전표!$F$7:$F$282,전표!$A$7:$A$282,$A122)-SUMIFS(전표!$G$7:$G$282,전표!$A$7:$A$282,$A122),0))</f>
        <v/>
      </c>
      <c r="Q122" s="10">
        <f t="shared" si="6"/>
        <v>0</v>
      </c>
      <c r="R122" t="str">
        <f t="shared" si="5"/>
        <v/>
      </c>
    </row>
    <row r="123" spans="1:18" ht="20" customHeight="1">
      <c r="A123" s="29"/>
      <c r="B123" s="31"/>
      <c r="C123" s="26"/>
      <c r="D123" s="33"/>
      <c r="E123" s="26"/>
      <c r="F123" s="27"/>
      <c r="G123" s="27"/>
      <c r="H123" s="27"/>
      <c r="I123" s="33"/>
      <c r="J123" s="33"/>
      <c r="K123" s="34" t="str">
        <f t="shared" si="4"/>
        <v/>
      </c>
      <c r="L123" s="35" t="str">
        <f>IF($E123="","",IFERROR(INDEX(계정과목!$B$6:$B$58,MATCH($E123,계정과목!$A$6:$A$58,0)),"미등록"))</f>
        <v/>
      </c>
      <c r="M123" s="34" t="str">
        <f>IF($E123="","",IFERROR(INDEX(계정과목!$C$6:$C$58,MATCH($E123,계정과목!$A$6:$A$58,0)),""))</f>
        <v/>
      </c>
      <c r="N123" s="34" t="str">
        <f>IF($E123="","",IFERROR(INDEX(계정과목!$D$6:$D$58,MATCH($E123,계정과목!$A$6:$A$58,0)),""))</f>
        <v/>
      </c>
      <c r="O123" s="34" t="str">
        <f>IF($E123="","",IF(COUNTIF(계정과목!$A$6:$A$58,$E123)=0,"미등록","정상"))</f>
        <v/>
      </c>
      <c r="P123" s="36" t="str">
        <f>IF($A123="","",ROUND(SUMIFS(전표!$F$7:$F$282,전표!$A$7:$A$282,$A123)-SUMIFS(전표!$G$7:$G$282,전표!$A$7:$A$282,$A123),0))</f>
        <v/>
      </c>
      <c r="Q123" s="10">
        <f t="shared" si="6"/>
        <v>0</v>
      </c>
      <c r="R123" t="str">
        <f t="shared" si="5"/>
        <v/>
      </c>
    </row>
    <row r="124" spans="1:18" ht="20" customHeight="1">
      <c r="A124" s="29"/>
      <c r="B124" s="31"/>
      <c r="C124" s="26"/>
      <c r="D124" s="33"/>
      <c r="E124" s="26"/>
      <c r="F124" s="27"/>
      <c r="G124" s="27"/>
      <c r="H124" s="27"/>
      <c r="I124" s="33"/>
      <c r="J124" s="33"/>
      <c r="K124" s="34" t="str">
        <f t="shared" si="4"/>
        <v/>
      </c>
      <c r="L124" s="35" t="str">
        <f>IF($E124="","",IFERROR(INDEX(계정과목!$B$6:$B$58,MATCH($E124,계정과목!$A$6:$A$58,0)),"미등록"))</f>
        <v/>
      </c>
      <c r="M124" s="34" t="str">
        <f>IF($E124="","",IFERROR(INDEX(계정과목!$C$6:$C$58,MATCH($E124,계정과목!$A$6:$A$58,0)),""))</f>
        <v/>
      </c>
      <c r="N124" s="34" t="str">
        <f>IF($E124="","",IFERROR(INDEX(계정과목!$D$6:$D$58,MATCH($E124,계정과목!$A$6:$A$58,0)),""))</f>
        <v/>
      </c>
      <c r="O124" s="34" t="str">
        <f>IF($E124="","",IF(COUNTIF(계정과목!$A$6:$A$58,$E124)=0,"미등록","정상"))</f>
        <v/>
      </c>
      <c r="P124" s="36" t="str">
        <f>IF($A124="","",ROUND(SUMIFS(전표!$F$7:$F$282,전표!$A$7:$A$282,$A124)-SUMIFS(전표!$G$7:$G$282,전표!$A$7:$A$282,$A124),0))</f>
        <v/>
      </c>
      <c r="Q124" s="10">
        <f t="shared" si="6"/>
        <v>0</v>
      </c>
      <c r="R124" t="str">
        <f t="shared" si="5"/>
        <v/>
      </c>
    </row>
    <row r="125" spans="1:18" ht="20" customHeight="1">
      <c r="A125" s="29"/>
      <c r="B125" s="31"/>
      <c r="C125" s="26"/>
      <c r="D125" s="33"/>
      <c r="E125" s="26"/>
      <c r="F125" s="27"/>
      <c r="G125" s="27"/>
      <c r="H125" s="27"/>
      <c r="I125" s="33"/>
      <c r="J125" s="33"/>
      <c r="K125" s="34" t="str">
        <f t="shared" si="4"/>
        <v/>
      </c>
      <c r="L125" s="35" t="str">
        <f>IF($E125="","",IFERROR(INDEX(계정과목!$B$6:$B$58,MATCH($E125,계정과목!$A$6:$A$58,0)),"미등록"))</f>
        <v/>
      </c>
      <c r="M125" s="34" t="str">
        <f>IF($E125="","",IFERROR(INDEX(계정과목!$C$6:$C$58,MATCH($E125,계정과목!$A$6:$A$58,0)),""))</f>
        <v/>
      </c>
      <c r="N125" s="34" t="str">
        <f>IF($E125="","",IFERROR(INDEX(계정과목!$D$6:$D$58,MATCH($E125,계정과목!$A$6:$A$58,0)),""))</f>
        <v/>
      </c>
      <c r="O125" s="34" t="str">
        <f>IF($E125="","",IF(COUNTIF(계정과목!$A$6:$A$58,$E125)=0,"미등록","정상"))</f>
        <v/>
      </c>
      <c r="P125" s="36" t="str">
        <f>IF($A125="","",ROUND(SUMIFS(전표!$F$7:$F$282,전표!$A$7:$A$282,$A125)-SUMIFS(전표!$G$7:$G$282,전표!$A$7:$A$282,$A125),0))</f>
        <v/>
      </c>
      <c r="Q125" s="10">
        <f t="shared" si="6"/>
        <v>0</v>
      </c>
      <c r="R125" t="str">
        <f t="shared" si="5"/>
        <v/>
      </c>
    </row>
    <row r="126" spans="1:18" ht="20" customHeight="1">
      <c r="A126" s="29"/>
      <c r="B126" s="31"/>
      <c r="C126" s="26"/>
      <c r="D126" s="33"/>
      <c r="E126" s="26"/>
      <c r="F126" s="27"/>
      <c r="G126" s="27"/>
      <c r="H126" s="27"/>
      <c r="I126" s="33"/>
      <c r="J126" s="33"/>
      <c r="K126" s="34" t="str">
        <f t="shared" si="4"/>
        <v/>
      </c>
      <c r="L126" s="35" t="str">
        <f>IF($E126="","",IFERROR(INDEX(계정과목!$B$6:$B$58,MATCH($E126,계정과목!$A$6:$A$58,0)),"미등록"))</f>
        <v/>
      </c>
      <c r="M126" s="34" t="str">
        <f>IF($E126="","",IFERROR(INDEX(계정과목!$C$6:$C$58,MATCH($E126,계정과목!$A$6:$A$58,0)),""))</f>
        <v/>
      </c>
      <c r="N126" s="34" t="str">
        <f>IF($E126="","",IFERROR(INDEX(계정과목!$D$6:$D$58,MATCH($E126,계정과목!$A$6:$A$58,0)),""))</f>
        <v/>
      </c>
      <c r="O126" s="34" t="str">
        <f>IF($E126="","",IF(COUNTIF(계정과목!$A$6:$A$58,$E126)=0,"미등록","정상"))</f>
        <v/>
      </c>
      <c r="P126" s="36" t="str">
        <f>IF($A126="","",ROUND(SUMIFS(전표!$F$7:$F$282,전표!$A$7:$A$282,$A126)-SUMIFS(전표!$G$7:$G$282,전표!$A$7:$A$282,$A126),0))</f>
        <v/>
      </c>
      <c r="Q126" s="10">
        <f t="shared" si="6"/>
        <v>0</v>
      </c>
      <c r="R126" t="str">
        <f t="shared" si="5"/>
        <v/>
      </c>
    </row>
    <row r="127" spans="1:18" ht="20" customHeight="1">
      <c r="A127" s="29"/>
      <c r="B127" s="31"/>
      <c r="C127" s="26"/>
      <c r="D127" s="33"/>
      <c r="E127" s="26"/>
      <c r="F127" s="27"/>
      <c r="G127" s="27"/>
      <c r="H127" s="27"/>
      <c r="I127" s="33"/>
      <c r="J127" s="33"/>
      <c r="K127" s="34" t="str">
        <f t="shared" si="4"/>
        <v/>
      </c>
      <c r="L127" s="35" t="str">
        <f>IF($E127="","",IFERROR(INDEX(계정과목!$B$6:$B$58,MATCH($E127,계정과목!$A$6:$A$58,0)),"미등록"))</f>
        <v/>
      </c>
      <c r="M127" s="34" t="str">
        <f>IF($E127="","",IFERROR(INDEX(계정과목!$C$6:$C$58,MATCH($E127,계정과목!$A$6:$A$58,0)),""))</f>
        <v/>
      </c>
      <c r="N127" s="34" t="str">
        <f>IF($E127="","",IFERROR(INDEX(계정과목!$D$6:$D$58,MATCH($E127,계정과목!$A$6:$A$58,0)),""))</f>
        <v/>
      </c>
      <c r="O127" s="34" t="str">
        <f>IF($E127="","",IF(COUNTIF(계정과목!$A$6:$A$58,$E127)=0,"미등록","정상"))</f>
        <v/>
      </c>
      <c r="P127" s="36" t="str">
        <f>IF($A127="","",ROUND(SUMIFS(전표!$F$7:$F$282,전표!$A$7:$A$282,$A127)-SUMIFS(전표!$G$7:$G$282,전표!$A$7:$A$282,$A127),0))</f>
        <v/>
      </c>
      <c r="Q127" s="10">
        <f t="shared" si="6"/>
        <v>0</v>
      </c>
      <c r="R127" t="str">
        <f t="shared" si="5"/>
        <v/>
      </c>
    </row>
    <row r="128" spans="1:18" ht="20" customHeight="1">
      <c r="A128" s="29"/>
      <c r="B128" s="31"/>
      <c r="C128" s="26"/>
      <c r="D128" s="33"/>
      <c r="E128" s="26"/>
      <c r="F128" s="27"/>
      <c r="G128" s="27"/>
      <c r="H128" s="27"/>
      <c r="I128" s="33"/>
      <c r="J128" s="33"/>
      <c r="K128" s="34" t="str">
        <f t="shared" si="4"/>
        <v/>
      </c>
      <c r="L128" s="35" t="str">
        <f>IF($E128="","",IFERROR(INDEX(계정과목!$B$6:$B$58,MATCH($E128,계정과목!$A$6:$A$58,0)),"미등록"))</f>
        <v/>
      </c>
      <c r="M128" s="34" t="str">
        <f>IF($E128="","",IFERROR(INDEX(계정과목!$C$6:$C$58,MATCH($E128,계정과목!$A$6:$A$58,0)),""))</f>
        <v/>
      </c>
      <c r="N128" s="34" t="str">
        <f>IF($E128="","",IFERROR(INDEX(계정과목!$D$6:$D$58,MATCH($E128,계정과목!$A$6:$A$58,0)),""))</f>
        <v/>
      </c>
      <c r="O128" s="34" t="str">
        <f>IF($E128="","",IF(COUNTIF(계정과목!$A$6:$A$58,$E128)=0,"미등록","정상"))</f>
        <v/>
      </c>
      <c r="P128" s="36" t="str">
        <f>IF($A128="","",ROUND(SUMIFS(전표!$F$7:$F$282,전표!$A$7:$A$282,$A128)-SUMIFS(전표!$G$7:$G$282,전표!$A$7:$A$282,$A128),0))</f>
        <v/>
      </c>
      <c r="Q128" s="10">
        <f t="shared" si="6"/>
        <v>0</v>
      </c>
      <c r="R128" t="str">
        <f t="shared" si="5"/>
        <v/>
      </c>
    </row>
    <row r="129" spans="1:18" ht="20" customHeight="1">
      <c r="A129" s="29"/>
      <c r="B129" s="31"/>
      <c r="C129" s="26"/>
      <c r="D129" s="33"/>
      <c r="E129" s="26"/>
      <c r="F129" s="27"/>
      <c r="G129" s="27"/>
      <c r="H129" s="27"/>
      <c r="I129" s="33"/>
      <c r="J129" s="33"/>
      <c r="K129" s="34" t="str">
        <f t="shared" si="4"/>
        <v/>
      </c>
      <c r="L129" s="35" t="str">
        <f>IF($E129="","",IFERROR(INDEX(계정과목!$B$6:$B$58,MATCH($E129,계정과목!$A$6:$A$58,0)),"미등록"))</f>
        <v/>
      </c>
      <c r="M129" s="34" t="str">
        <f>IF($E129="","",IFERROR(INDEX(계정과목!$C$6:$C$58,MATCH($E129,계정과목!$A$6:$A$58,0)),""))</f>
        <v/>
      </c>
      <c r="N129" s="34" t="str">
        <f>IF($E129="","",IFERROR(INDEX(계정과목!$D$6:$D$58,MATCH($E129,계정과목!$A$6:$A$58,0)),""))</f>
        <v/>
      </c>
      <c r="O129" s="34" t="str">
        <f>IF($E129="","",IF(COUNTIF(계정과목!$A$6:$A$58,$E129)=0,"미등록","정상"))</f>
        <v/>
      </c>
      <c r="P129" s="36" t="str">
        <f>IF($A129="","",ROUND(SUMIFS(전표!$F$7:$F$282,전표!$A$7:$A$282,$A129)-SUMIFS(전표!$G$7:$G$282,전표!$A$7:$A$282,$A129),0))</f>
        <v/>
      </c>
      <c r="Q129" s="10">
        <f t="shared" si="6"/>
        <v>0</v>
      </c>
      <c r="R129" t="str">
        <f t="shared" si="5"/>
        <v/>
      </c>
    </row>
    <row r="130" spans="1:18" ht="20" customHeight="1">
      <c r="A130" s="29"/>
      <c r="B130" s="31"/>
      <c r="C130" s="26"/>
      <c r="D130" s="33"/>
      <c r="E130" s="26"/>
      <c r="F130" s="27"/>
      <c r="G130" s="27"/>
      <c r="H130" s="27"/>
      <c r="I130" s="33"/>
      <c r="J130" s="33"/>
      <c r="K130" s="34" t="str">
        <f t="shared" si="4"/>
        <v/>
      </c>
      <c r="L130" s="35" t="str">
        <f>IF($E130="","",IFERROR(INDEX(계정과목!$B$6:$B$58,MATCH($E130,계정과목!$A$6:$A$58,0)),"미등록"))</f>
        <v/>
      </c>
      <c r="M130" s="34" t="str">
        <f>IF($E130="","",IFERROR(INDEX(계정과목!$C$6:$C$58,MATCH($E130,계정과목!$A$6:$A$58,0)),""))</f>
        <v/>
      </c>
      <c r="N130" s="34" t="str">
        <f>IF($E130="","",IFERROR(INDEX(계정과목!$D$6:$D$58,MATCH($E130,계정과목!$A$6:$A$58,0)),""))</f>
        <v/>
      </c>
      <c r="O130" s="34" t="str">
        <f>IF($E130="","",IF(COUNTIF(계정과목!$A$6:$A$58,$E130)=0,"미등록","정상"))</f>
        <v/>
      </c>
      <c r="P130" s="36" t="str">
        <f>IF($A130="","",ROUND(SUMIFS(전표!$F$7:$F$282,전표!$A$7:$A$282,$A130)-SUMIFS(전표!$G$7:$G$282,전표!$A$7:$A$282,$A130),0))</f>
        <v/>
      </c>
      <c r="Q130" s="10">
        <f t="shared" si="6"/>
        <v>0</v>
      </c>
      <c r="R130" t="str">
        <f t="shared" si="5"/>
        <v/>
      </c>
    </row>
    <row r="131" spans="1:18" ht="20" customHeight="1">
      <c r="A131" s="29"/>
      <c r="B131" s="31"/>
      <c r="C131" s="26"/>
      <c r="D131" s="33"/>
      <c r="E131" s="26"/>
      <c r="F131" s="27"/>
      <c r="G131" s="27"/>
      <c r="H131" s="27"/>
      <c r="I131" s="33"/>
      <c r="J131" s="33"/>
      <c r="K131" s="34" t="str">
        <f t="shared" si="4"/>
        <v/>
      </c>
      <c r="L131" s="35" t="str">
        <f>IF($E131="","",IFERROR(INDEX(계정과목!$B$6:$B$58,MATCH($E131,계정과목!$A$6:$A$58,0)),"미등록"))</f>
        <v/>
      </c>
      <c r="M131" s="34" t="str">
        <f>IF($E131="","",IFERROR(INDEX(계정과목!$C$6:$C$58,MATCH($E131,계정과목!$A$6:$A$58,0)),""))</f>
        <v/>
      </c>
      <c r="N131" s="34" t="str">
        <f>IF($E131="","",IFERROR(INDEX(계정과목!$D$6:$D$58,MATCH($E131,계정과목!$A$6:$A$58,0)),""))</f>
        <v/>
      </c>
      <c r="O131" s="34" t="str">
        <f>IF($E131="","",IF(COUNTIF(계정과목!$A$6:$A$58,$E131)=0,"미등록","정상"))</f>
        <v/>
      </c>
      <c r="P131" s="36" t="str">
        <f>IF($A131="","",ROUND(SUMIFS(전표!$F$7:$F$282,전표!$A$7:$A$282,$A131)-SUMIFS(전표!$G$7:$G$282,전표!$A$7:$A$282,$A131),0))</f>
        <v/>
      </c>
      <c r="Q131" s="10">
        <f t="shared" si="6"/>
        <v>0</v>
      </c>
      <c r="R131" t="str">
        <f t="shared" si="5"/>
        <v/>
      </c>
    </row>
    <row r="132" spans="1:18" ht="20" customHeight="1">
      <c r="A132" s="29"/>
      <c r="B132" s="31"/>
      <c r="C132" s="26"/>
      <c r="D132" s="33"/>
      <c r="E132" s="26"/>
      <c r="F132" s="27"/>
      <c r="G132" s="27"/>
      <c r="H132" s="27"/>
      <c r="I132" s="33"/>
      <c r="J132" s="33"/>
      <c r="K132" s="34" t="str">
        <f t="shared" si="4"/>
        <v/>
      </c>
      <c r="L132" s="35" t="str">
        <f>IF($E132="","",IFERROR(INDEX(계정과목!$B$6:$B$58,MATCH($E132,계정과목!$A$6:$A$58,0)),"미등록"))</f>
        <v/>
      </c>
      <c r="M132" s="34" t="str">
        <f>IF($E132="","",IFERROR(INDEX(계정과목!$C$6:$C$58,MATCH($E132,계정과목!$A$6:$A$58,0)),""))</f>
        <v/>
      </c>
      <c r="N132" s="34" t="str">
        <f>IF($E132="","",IFERROR(INDEX(계정과목!$D$6:$D$58,MATCH($E132,계정과목!$A$6:$A$58,0)),""))</f>
        <v/>
      </c>
      <c r="O132" s="34" t="str">
        <f>IF($E132="","",IF(COUNTIF(계정과목!$A$6:$A$58,$E132)=0,"미등록","정상"))</f>
        <v/>
      </c>
      <c r="P132" s="36" t="str">
        <f>IF($A132="","",ROUND(SUMIFS(전표!$F$7:$F$282,전표!$A$7:$A$282,$A132)-SUMIFS(전표!$G$7:$G$282,전표!$A$7:$A$282,$A132),0))</f>
        <v/>
      </c>
      <c r="Q132" s="10">
        <f t="shared" si="6"/>
        <v>0</v>
      </c>
      <c r="R132" t="str">
        <f t="shared" si="5"/>
        <v/>
      </c>
    </row>
    <row r="133" spans="1:18" ht="20" customHeight="1">
      <c r="A133" s="29"/>
      <c r="B133" s="31"/>
      <c r="C133" s="26"/>
      <c r="D133" s="33"/>
      <c r="E133" s="26"/>
      <c r="F133" s="27"/>
      <c r="G133" s="27"/>
      <c r="H133" s="27"/>
      <c r="I133" s="33"/>
      <c r="J133" s="33"/>
      <c r="K133" s="34" t="str">
        <f t="shared" si="4"/>
        <v/>
      </c>
      <c r="L133" s="35" t="str">
        <f>IF($E133="","",IFERROR(INDEX(계정과목!$B$6:$B$58,MATCH($E133,계정과목!$A$6:$A$58,0)),"미등록"))</f>
        <v/>
      </c>
      <c r="M133" s="34" t="str">
        <f>IF($E133="","",IFERROR(INDEX(계정과목!$C$6:$C$58,MATCH($E133,계정과목!$A$6:$A$58,0)),""))</f>
        <v/>
      </c>
      <c r="N133" s="34" t="str">
        <f>IF($E133="","",IFERROR(INDEX(계정과목!$D$6:$D$58,MATCH($E133,계정과목!$A$6:$A$58,0)),""))</f>
        <v/>
      </c>
      <c r="O133" s="34" t="str">
        <f>IF($E133="","",IF(COUNTIF(계정과목!$A$6:$A$58,$E133)=0,"미등록","정상"))</f>
        <v/>
      </c>
      <c r="P133" s="36" t="str">
        <f>IF($A133="","",ROUND(SUMIFS(전표!$F$7:$F$282,전표!$A$7:$A$282,$A133)-SUMIFS(전표!$G$7:$G$282,전표!$A$7:$A$282,$A133),0))</f>
        <v/>
      </c>
      <c r="Q133" s="10">
        <f t="shared" si="6"/>
        <v>0</v>
      </c>
      <c r="R133" t="str">
        <f t="shared" si="5"/>
        <v/>
      </c>
    </row>
    <row r="134" spans="1:18" ht="20" customHeight="1">
      <c r="A134" s="29"/>
      <c r="B134" s="31"/>
      <c r="C134" s="26"/>
      <c r="D134" s="33"/>
      <c r="E134" s="26"/>
      <c r="F134" s="27"/>
      <c r="G134" s="27"/>
      <c r="H134" s="27"/>
      <c r="I134" s="33"/>
      <c r="J134" s="33"/>
      <c r="K134" s="34" t="str">
        <f t="shared" si="4"/>
        <v/>
      </c>
      <c r="L134" s="35" t="str">
        <f>IF($E134="","",IFERROR(INDEX(계정과목!$B$6:$B$58,MATCH($E134,계정과목!$A$6:$A$58,0)),"미등록"))</f>
        <v/>
      </c>
      <c r="M134" s="34" t="str">
        <f>IF($E134="","",IFERROR(INDEX(계정과목!$C$6:$C$58,MATCH($E134,계정과목!$A$6:$A$58,0)),""))</f>
        <v/>
      </c>
      <c r="N134" s="34" t="str">
        <f>IF($E134="","",IFERROR(INDEX(계정과목!$D$6:$D$58,MATCH($E134,계정과목!$A$6:$A$58,0)),""))</f>
        <v/>
      </c>
      <c r="O134" s="34" t="str">
        <f>IF($E134="","",IF(COUNTIF(계정과목!$A$6:$A$58,$E134)=0,"미등록","정상"))</f>
        <v/>
      </c>
      <c r="P134" s="36" t="str">
        <f>IF($A134="","",ROUND(SUMIFS(전표!$F$7:$F$282,전표!$A$7:$A$282,$A134)-SUMIFS(전표!$G$7:$G$282,전표!$A$7:$A$282,$A134),0))</f>
        <v/>
      </c>
      <c r="Q134" s="10">
        <f t="shared" si="6"/>
        <v>0</v>
      </c>
      <c r="R134" t="str">
        <f t="shared" si="5"/>
        <v/>
      </c>
    </row>
    <row r="135" spans="1:18" ht="20" customHeight="1">
      <c r="A135" s="29"/>
      <c r="B135" s="31"/>
      <c r="C135" s="26"/>
      <c r="D135" s="33"/>
      <c r="E135" s="26"/>
      <c r="F135" s="27"/>
      <c r="G135" s="27"/>
      <c r="H135" s="27"/>
      <c r="I135" s="33"/>
      <c r="J135" s="33"/>
      <c r="K135" s="34" t="str">
        <f t="shared" ref="K135:K198" si="7">IF($B135="","",TEXT($B135,"yyyy-mm"))</f>
        <v/>
      </c>
      <c r="L135" s="35" t="str">
        <f>IF($E135="","",IFERROR(INDEX(계정과목!$B$6:$B$58,MATCH($E135,계정과목!$A$6:$A$58,0)),"미등록"))</f>
        <v/>
      </c>
      <c r="M135" s="34" t="str">
        <f>IF($E135="","",IFERROR(INDEX(계정과목!$C$6:$C$58,MATCH($E135,계정과목!$A$6:$A$58,0)),""))</f>
        <v/>
      </c>
      <c r="N135" s="34" t="str">
        <f>IF($E135="","",IFERROR(INDEX(계정과목!$D$6:$D$58,MATCH($E135,계정과목!$A$6:$A$58,0)),""))</f>
        <v/>
      </c>
      <c r="O135" s="34" t="str">
        <f>IF($E135="","",IF(COUNTIF(계정과목!$A$6:$A$58,$E135)=0,"미등록","정상"))</f>
        <v/>
      </c>
      <c r="P135" s="36" t="str">
        <f>IF($A135="","",ROUND(SUMIFS(전표!$F$7:$F$282,전표!$A$7:$A$282,$A135)-SUMIFS(전표!$G$7:$G$282,전표!$A$7:$A$282,$A135),0))</f>
        <v/>
      </c>
      <c r="Q135" s="10">
        <f t="shared" si="6"/>
        <v>0</v>
      </c>
      <c r="R135" t="str">
        <f t="shared" si="5"/>
        <v/>
      </c>
    </row>
    <row r="136" spans="1:18" ht="20" customHeight="1">
      <c r="A136" s="29"/>
      <c r="B136" s="31"/>
      <c r="C136" s="26"/>
      <c r="D136" s="33"/>
      <c r="E136" s="26"/>
      <c r="F136" s="27"/>
      <c r="G136" s="27"/>
      <c r="H136" s="27"/>
      <c r="I136" s="33"/>
      <c r="J136" s="33"/>
      <c r="K136" s="34" t="str">
        <f t="shared" si="7"/>
        <v/>
      </c>
      <c r="L136" s="35" t="str">
        <f>IF($E136="","",IFERROR(INDEX(계정과목!$B$6:$B$58,MATCH($E136,계정과목!$A$6:$A$58,0)),"미등록"))</f>
        <v/>
      </c>
      <c r="M136" s="34" t="str">
        <f>IF($E136="","",IFERROR(INDEX(계정과목!$C$6:$C$58,MATCH($E136,계정과목!$A$6:$A$58,0)),""))</f>
        <v/>
      </c>
      <c r="N136" s="34" t="str">
        <f>IF($E136="","",IFERROR(INDEX(계정과목!$D$6:$D$58,MATCH($E136,계정과목!$A$6:$A$58,0)),""))</f>
        <v/>
      </c>
      <c r="O136" s="34" t="str">
        <f>IF($E136="","",IF(COUNTIF(계정과목!$A$6:$A$58,$E136)=0,"미등록","정상"))</f>
        <v/>
      </c>
      <c r="P136" s="36" t="str">
        <f>IF($A136="","",ROUND(SUMIFS(전표!$F$7:$F$282,전표!$A$7:$A$282,$A136)-SUMIFS(전표!$G$7:$G$282,전표!$A$7:$A$282,$A136),0))</f>
        <v/>
      </c>
      <c r="Q136" s="10">
        <f t="shared" si="6"/>
        <v>0</v>
      </c>
      <c r="R136" t="str">
        <f t="shared" ref="R136:R199" si="8">IF($A136="","",IF($A136=$A135,N($R135),1-N($R135)))</f>
        <v/>
      </c>
    </row>
    <row r="137" spans="1:18" ht="20" customHeight="1">
      <c r="A137" s="29"/>
      <c r="B137" s="31"/>
      <c r="C137" s="26"/>
      <c r="D137" s="33"/>
      <c r="E137" s="26"/>
      <c r="F137" s="27"/>
      <c r="G137" s="27"/>
      <c r="H137" s="27"/>
      <c r="I137" s="33"/>
      <c r="J137" s="33"/>
      <c r="K137" s="34" t="str">
        <f t="shared" si="7"/>
        <v/>
      </c>
      <c r="L137" s="35" t="str">
        <f>IF($E137="","",IFERROR(INDEX(계정과목!$B$6:$B$58,MATCH($E137,계정과목!$A$6:$A$58,0)),"미등록"))</f>
        <v/>
      </c>
      <c r="M137" s="34" t="str">
        <f>IF($E137="","",IFERROR(INDEX(계정과목!$C$6:$C$58,MATCH($E137,계정과목!$A$6:$A$58,0)),""))</f>
        <v/>
      </c>
      <c r="N137" s="34" t="str">
        <f>IF($E137="","",IFERROR(INDEX(계정과목!$D$6:$D$58,MATCH($E137,계정과목!$A$6:$A$58,0)),""))</f>
        <v/>
      </c>
      <c r="O137" s="34" t="str">
        <f>IF($E137="","",IF(COUNTIF(계정과목!$A$6:$A$58,$E137)=0,"미등록","정상"))</f>
        <v/>
      </c>
      <c r="P137" s="36" t="str">
        <f>IF($A137="","",ROUND(SUMIFS(전표!$F$7:$F$282,전표!$A$7:$A$282,$A137)-SUMIFS(전표!$G$7:$G$282,전표!$A$7:$A$282,$A137),0))</f>
        <v/>
      </c>
      <c r="Q137" s="10">
        <f t="shared" si="6"/>
        <v>0</v>
      </c>
      <c r="R137" t="str">
        <f t="shared" si="8"/>
        <v/>
      </c>
    </row>
    <row r="138" spans="1:18" ht="20" customHeight="1">
      <c r="A138" s="29"/>
      <c r="B138" s="31"/>
      <c r="C138" s="26"/>
      <c r="D138" s="33"/>
      <c r="E138" s="26"/>
      <c r="F138" s="27"/>
      <c r="G138" s="27"/>
      <c r="H138" s="27"/>
      <c r="I138" s="33"/>
      <c r="J138" s="33"/>
      <c r="K138" s="34" t="str">
        <f t="shared" si="7"/>
        <v/>
      </c>
      <c r="L138" s="35" t="str">
        <f>IF($E138="","",IFERROR(INDEX(계정과목!$B$6:$B$58,MATCH($E138,계정과목!$A$6:$A$58,0)),"미등록"))</f>
        <v/>
      </c>
      <c r="M138" s="34" t="str">
        <f>IF($E138="","",IFERROR(INDEX(계정과목!$C$6:$C$58,MATCH($E138,계정과목!$A$6:$A$58,0)),""))</f>
        <v/>
      </c>
      <c r="N138" s="34" t="str">
        <f>IF($E138="","",IFERROR(INDEX(계정과목!$D$6:$D$58,MATCH($E138,계정과목!$A$6:$A$58,0)),""))</f>
        <v/>
      </c>
      <c r="O138" s="34" t="str">
        <f>IF($E138="","",IF(COUNTIF(계정과목!$A$6:$A$58,$E138)=0,"미등록","정상"))</f>
        <v/>
      </c>
      <c r="P138" s="36" t="str">
        <f>IF($A138="","",ROUND(SUMIFS(전표!$F$7:$F$282,전표!$A$7:$A$282,$A138)-SUMIFS(전표!$G$7:$G$282,전표!$A$7:$A$282,$A138),0))</f>
        <v/>
      </c>
      <c r="Q138" s="10">
        <f t="shared" si="6"/>
        <v>0</v>
      </c>
      <c r="R138" t="str">
        <f t="shared" si="8"/>
        <v/>
      </c>
    </row>
    <row r="139" spans="1:18" ht="20" customHeight="1">
      <c r="A139" s="29"/>
      <c r="B139" s="31"/>
      <c r="C139" s="26"/>
      <c r="D139" s="33"/>
      <c r="E139" s="26"/>
      <c r="F139" s="27"/>
      <c r="G139" s="27"/>
      <c r="H139" s="27"/>
      <c r="I139" s="33"/>
      <c r="J139" s="33"/>
      <c r="K139" s="34" t="str">
        <f t="shared" si="7"/>
        <v/>
      </c>
      <c r="L139" s="35" t="str">
        <f>IF($E139="","",IFERROR(INDEX(계정과목!$B$6:$B$58,MATCH($E139,계정과목!$A$6:$A$58,0)),"미등록"))</f>
        <v/>
      </c>
      <c r="M139" s="34" t="str">
        <f>IF($E139="","",IFERROR(INDEX(계정과목!$C$6:$C$58,MATCH($E139,계정과목!$A$6:$A$58,0)),""))</f>
        <v/>
      </c>
      <c r="N139" s="34" t="str">
        <f>IF($E139="","",IFERROR(INDEX(계정과목!$D$6:$D$58,MATCH($E139,계정과목!$A$6:$A$58,0)),""))</f>
        <v/>
      </c>
      <c r="O139" s="34" t="str">
        <f>IF($E139="","",IF(COUNTIF(계정과목!$A$6:$A$58,$E139)=0,"미등록","정상"))</f>
        <v/>
      </c>
      <c r="P139" s="36" t="str">
        <f>IF($A139="","",ROUND(SUMIFS(전표!$F$7:$F$282,전표!$A$7:$A$282,$A139)-SUMIFS(전표!$G$7:$G$282,전표!$A$7:$A$282,$A139),0))</f>
        <v/>
      </c>
      <c r="Q139" s="10">
        <f t="shared" si="6"/>
        <v>0</v>
      </c>
      <c r="R139" t="str">
        <f t="shared" si="8"/>
        <v/>
      </c>
    </row>
    <row r="140" spans="1:18" ht="20" customHeight="1">
      <c r="A140" s="29"/>
      <c r="B140" s="31"/>
      <c r="C140" s="26"/>
      <c r="D140" s="33"/>
      <c r="E140" s="26"/>
      <c r="F140" s="27"/>
      <c r="G140" s="27"/>
      <c r="H140" s="27"/>
      <c r="I140" s="33"/>
      <c r="J140" s="33"/>
      <c r="K140" s="34" t="str">
        <f t="shared" si="7"/>
        <v/>
      </c>
      <c r="L140" s="35" t="str">
        <f>IF($E140="","",IFERROR(INDEX(계정과목!$B$6:$B$58,MATCH($E140,계정과목!$A$6:$A$58,0)),"미등록"))</f>
        <v/>
      </c>
      <c r="M140" s="34" t="str">
        <f>IF($E140="","",IFERROR(INDEX(계정과목!$C$6:$C$58,MATCH($E140,계정과목!$A$6:$A$58,0)),""))</f>
        <v/>
      </c>
      <c r="N140" s="34" t="str">
        <f>IF($E140="","",IFERROR(INDEX(계정과목!$D$6:$D$58,MATCH($E140,계정과목!$A$6:$A$58,0)),""))</f>
        <v/>
      </c>
      <c r="O140" s="34" t="str">
        <f>IF($E140="","",IF(COUNTIF(계정과목!$A$6:$A$58,$E140)=0,"미등록","정상"))</f>
        <v/>
      </c>
      <c r="P140" s="36" t="str">
        <f>IF($A140="","",ROUND(SUMIFS(전표!$F$7:$F$282,전표!$A$7:$A$282,$A140)-SUMIFS(전표!$G$7:$G$282,전표!$A$7:$A$282,$A140),0))</f>
        <v/>
      </c>
      <c r="Q140" s="10">
        <f t="shared" si="6"/>
        <v>0</v>
      </c>
      <c r="R140" t="str">
        <f t="shared" si="8"/>
        <v/>
      </c>
    </row>
    <row r="141" spans="1:18" ht="20" customHeight="1">
      <c r="A141" s="29"/>
      <c r="B141" s="31"/>
      <c r="C141" s="26"/>
      <c r="D141" s="33"/>
      <c r="E141" s="26"/>
      <c r="F141" s="27"/>
      <c r="G141" s="27"/>
      <c r="H141" s="27"/>
      <c r="I141" s="33"/>
      <c r="J141" s="33"/>
      <c r="K141" s="34" t="str">
        <f t="shared" si="7"/>
        <v/>
      </c>
      <c r="L141" s="35" t="str">
        <f>IF($E141="","",IFERROR(INDEX(계정과목!$B$6:$B$58,MATCH($E141,계정과목!$A$6:$A$58,0)),"미등록"))</f>
        <v/>
      </c>
      <c r="M141" s="34" t="str">
        <f>IF($E141="","",IFERROR(INDEX(계정과목!$C$6:$C$58,MATCH($E141,계정과목!$A$6:$A$58,0)),""))</f>
        <v/>
      </c>
      <c r="N141" s="34" t="str">
        <f>IF($E141="","",IFERROR(INDEX(계정과목!$D$6:$D$58,MATCH($E141,계정과목!$A$6:$A$58,0)),""))</f>
        <v/>
      </c>
      <c r="O141" s="34" t="str">
        <f>IF($E141="","",IF(COUNTIF(계정과목!$A$6:$A$58,$E141)=0,"미등록","정상"))</f>
        <v/>
      </c>
      <c r="P141" s="36" t="str">
        <f>IF($A141="","",ROUND(SUMIFS(전표!$F$7:$F$282,전표!$A$7:$A$282,$A141)-SUMIFS(전표!$G$7:$G$282,전표!$A$7:$A$282,$A141),0))</f>
        <v/>
      </c>
      <c r="Q141" s="10">
        <f t="shared" si="6"/>
        <v>0</v>
      </c>
      <c r="R141" t="str">
        <f t="shared" si="8"/>
        <v/>
      </c>
    </row>
    <row r="142" spans="1:18" ht="20" customHeight="1">
      <c r="A142" s="29"/>
      <c r="B142" s="31"/>
      <c r="C142" s="26"/>
      <c r="D142" s="33"/>
      <c r="E142" s="26"/>
      <c r="F142" s="27"/>
      <c r="G142" s="27"/>
      <c r="H142" s="27"/>
      <c r="I142" s="33"/>
      <c r="J142" s="33"/>
      <c r="K142" s="34" t="str">
        <f t="shared" si="7"/>
        <v/>
      </c>
      <c r="L142" s="35" t="str">
        <f>IF($E142="","",IFERROR(INDEX(계정과목!$B$6:$B$58,MATCH($E142,계정과목!$A$6:$A$58,0)),"미등록"))</f>
        <v/>
      </c>
      <c r="M142" s="34" t="str">
        <f>IF($E142="","",IFERROR(INDEX(계정과목!$C$6:$C$58,MATCH($E142,계정과목!$A$6:$A$58,0)),""))</f>
        <v/>
      </c>
      <c r="N142" s="34" t="str">
        <f>IF($E142="","",IFERROR(INDEX(계정과목!$D$6:$D$58,MATCH($E142,계정과목!$A$6:$A$58,0)),""))</f>
        <v/>
      </c>
      <c r="O142" s="34" t="str">
        <f>IF($E142="","",IF(COUNTIF(계정과목!$A$6:$A$58,$E142)=0,"미등록","정상"))</f>
        <v/>
      </c>
      <c r="P142" s="36" t="str">
        <f>IF($A142="","",ROUND(SUMIFS(전표!$F$7:$F$282,전표!$A$7:$A$282,$A142)-SUMIFS(전표!$G$7:$G$282,전표!$A$7:$A$282,$A142),0))</f>
        <v/>
      </c>
      <c r="Q142" s="10">
        <f t="shared" si="6"/>
        <v>0</v>
      </c>
      <c r="R142" t="str">
        <f t="shared" si="8"/>
        <v/>
      </c>
    </row>
    <row r="143" spans="1:18" ht="20" customHeight="1">
      <c r="A143" s="29"/>
      <c r="B143" s="31"/>
      <c r="C143" s="26"/>
      <c r="D143" s="33"/>
      <c r="E143" s="26"/>
      <c r="F143" s="27"/>
      <c r="G143" s="27"/>
      <c r="H143" s="27"/>
      <c r="I143" s="33"/>
      <c r="J143" s="33"/>
      <c r="K143" s="34" t="str">
        <f t="shared" si="7"/>
        <v/>
      </c>
      <c r="L143" s="35" t="str">
        <f>IF($E143="","",IFERROR(INDEX(계정과목!$B$6:$B$58,MATCH($E143,계정과목!$A$6:$A$58,0)),"미등록"))</f>
        <v/>
      </c>
      <c r="M143" s="34" t="str">
        <f>IF($E143="","",IFERROR(INDEX(계정과목!$C$6:$C$58,MATCH($E143,계정과목!$A$6:$A$58,0)),""))</f>
        <v/>
      </c>
      <c r="N143" s="34" t="str">
        <f>IF($E143="","",IFERROR(INDEX(계정과목!$D$6:$D$58,MATCH($E143,계정과목!$A$6:$A$58,0)),""))</f>
        <v/>
      </c>
      <c r="O143" s="34" t="str">
        <f>IF($E143="","",IF(COUNTIF(계정과목!$A$6:$A$58,$E143)=0,"미등록","정상"))</f>
        <v/>
      </c>
      <c r="P143" s="36" t="str">
        <f>IF($A143="","",ROUND(SUMIFS(전표!$F$7:$F$282,전표!$A$7:$A$282,$A143)-SUMIFS(전표!$G$7:$G$282,전표!$A$7:$A$282,$A143),0))</f>
        <v/>
      </c>
      <c r="Q143" s="10">
        <f t="shared" si="6"/>
        <v>0</v>
      </c>
      <c r="R143" t="str">
        <f t="shared" si="8"/>
        <v/>
      </c>
    </row>
    <row r="144" spans="1:18" ht="20" customHeight="1">
      <c r="A144" s="29"/>
      <c r="B144" s="31"/>
      <c r="C144" s="26"/>
      <c r="D144" s="33"/>
      <c r="E144" s="26"/>
      <c r="F144" s="27"/>
      <c r="G144" s="27"/>
      <c r="H144" s="27"/>
      <c r="I144" s="33"/>
      <c r="J144" s="33"/>
      <c r="K144" s="34" t="str">
        <f t="shared" si="7"/>
        <v/>
      </c>
      <c r="L144" s="35" t="str">
        <f>IF($E144="","",IFERROR(INDEX(계정과목!$B$6:$B$58,MATCH($E144,계정과목!$A$6:$A$58,0)),"미등록"))</f>
        <v/>
      </c>
      <c r="M144" s="34" t="str">
        <f>IF($E144="","",IFERROR(INDEX(계정과목!$C$6:$C$58,MATCH($E144,계정과목!$A$6:$A$58,0)),""))</f>
        <v/>
      </c>
      <c r="N144" s="34" t="str">
        <f>IF($E144="","",IFERROR(INDEX(계정과목!$D$6:$D$58,MATCH($E144,계정과목!$A$6:$A$58,0)),""))</f>
        <v/>
      </c>
      <c r="O144" s="34" t="str">
        <f>IF($E144="","",IF(COUNTIF(계정과목!$A$6:$A$58,$E144)=0,"미등록","정상"))</f>
        <v/>
      </c>
      <c r="P144" s="36" t="str">
        <f>IF($A144="","",ROUND(SUMIFS(전표!$F$7:$F$282,전표!$A$7:$A$282,$A144)-SUMIFS(전표!$G$7:$G$282,전표!$A$7:$A$282,$A144),0))</f>
        <v/>
      </c>
      <c r="Q144" s="10">
        <f t="shared" si="6"/>
        <v>0</v>
      </c>
      <c r="R144" t="str">
        <f t="shared" si="8"/>
        <v/>
      </c>
    </row>
    <row r="145" spans="1:18" ht="20" customHeight="1">
      <c r="A145" s="29"/>
      <c r="B145" s="31"/>
      <c r="C145" s="26"/>
      <c r="D145" s="33"/>
      <c r="E145" s="26"/>
      <c r="F145" s="27"/>
      <c r="G145" s="27"/>
      <c r="H145" s="27"/>
      <c r="I145" s="33"/>
      <c r="J145" s="33"/>
      <c r="K145" s="34" t="str">
        <f t="shared" si="7"/>
        <v/>
      </c>
      <c r="L145" s="35" t="str">
        <f>IF($E145="","",IFERROR(INDEX(계정과목!$B$6:$B$58,MATCH($E145,계정과목!$A$6:$A$58,0)),"미등록"))</f>
        <v/>
      </c>
      <c r="M145" s="34" t="str">
        <f>IF($E145="","",IFERROR(INDEX(계정과목!$C$6:$C$58,MATCH($E145,계정과목!$A$6:$A$58,0)),""))</f>
        <v/>
      </c>
      <c r="N145" s="34" t="str">
        <f>IF($E145="","",IFERROR(INDEX(계정과목!$D$6:$D$58,MATCH($E145,계정과목!$A$6:$A$58,0)),""))</f>
        <v/>
      </c>
      <c r="O145" s="34" t="str">
        <f>IF($E145="","",IF(COUNTIF(계정과목!$A$6:$A$58,$E145)=0,"미등록","정상"))</f>
        <v/>
      </c>
      <c r="P145" s="36" t="str">
        <f>IF($A145="","",ROUND(SUMIFS(전표!$F$7:$F$282,전표!$A$7:$A$282,$A145)-SUMIFS(전표!$G$7:$G$282,전표!$A$7:$A$282,$A145),0))</f>
        <v/>
      </c>
      <c r="Q145" s="10">
        <f t="shared" si="6"/>
        <v>0</v>
      </c>
      <c r="R145" t="str">
        <f t="shared" si="8"/>
        <v/>
      </c>
    </row>
    <row r="146" spans="1:18" ht="20" customHeight="1">
      <c r="A146" s="29"/>
      <c r="B146" s="31"/>
      <c r="C146" s="26"/>
      <c r="D146" s="33"/>
      <c r="E146" s="26"/>
      <c r="F146" s="27"/>
      <c r="G146" s="27"/>
      <c r="H146" s="27"/>
      <c r="I146" s="33"/>
      <c r="J146" s="33"/>
      <c r="K146" s="34" t="str">
        <f t="shared" si="7"/>
        <v/>
      </c>
      <c r="L146" s="35" t="str">
        <f>IF($E146="","",IFERROR(INDEX(계정과목!$B$6:$B$58,MATCH($E146,계정과목!$A$6:$A$58,0)),"미등록"))</f>
        <v/>
      </c>
      <c r="M146" s="34" t="str">
        <f>IF($E146="","",IFERROR(INDEX(계정과목!$C$6:$C$58,MATCH($E146,계정과목!$A$6:$A$58,0)),""))</f>
        <v/>
      </c>
      <c r="N146" s="34" t="str">
        <f>IF($E146="","",IFERROR(INDEX(계정과목!$D$6:$D$58,MATCH($E146,계정과목!$A$6:$A$58,0)),""))</f>
        <v/>
      </c>
      <c r="O146" s="34" t="str">
        <f>IF($E146="","",IF(COUNTIF(계정과목!$A$6:$A$58,$E146)=0,"미등록","정상"))</f>
        <v/>
      </c>
      <c r="P146" s="36" t="str">
        <f>IF($A146="","",ROUND(SUMIFS(전표!$F$7:$F$282,전표!$A$7:$A$282,$A146)-SUMIFS(전표!$G$7:$G$282,전표!$A$7:$A$282,$A146),0))</f>
        <v/>
      </c>
      <c r="Q146" s="10">
        <f t="shared" si="6"/>
        <v>0</v>
      </c>
      <c r="R146" t="str">
        <f t="shared" si="8"/>
        <v/>
      </c>
    </row>
    <row r="147" spans="1:18" ht="20" customHeight="1">
      <c r="A147" s="29"/>
      <c r="B147" s="31"/>
      <c r="C147" s="26"/>
      <c r="D147" s="33"/>
      <c r="E147" s="26"/>
      <c r="F147" s="27"/>
      <c r="G147" s="27"/>
      <c r="H147" s="27"/>
      <c r="I147" s="33"/>
      <c r="J147" s="33"/>
      <c r="K147" s="34" t="str">
        <f t="shared" si="7"/>
        <v/>
      </c>
      <c r="L147" s="35" t="str">
        <f>IF($E147="","",IFERROR(INDEX(계정과목!$B$6:$B$58,MATCH($E147,계정과목!$A$6:$A$58,0)),"미등록"))</f>
        <v/>
      </c>
      <c r="M147" s="34" t="str">
        <f>IF($E147="","",IFERROR(INDEX(계정과목!$C$6:$C$58,MATCH($E147,계정과목!$A$6:$A$58,0)),""))</f>
        <v/>
      </c>
      <c r="N147" s="34" t="str">
        <f>IF($E147="","",IFERROR(INDEX(계정과목!$D$6:$D$58,MATCH($E147,계정과목!$A$6:$A$58,0)),""))</f>
        <v/>
      </c>
      <c r="O147" s="34" t="str">
        <f>IF($E147="","",IF(COUNTIF(계정과목!$A$6:$A$58,$E147)=0,"미등록","정상"))</f>
        <v/>
      </c>
      <c r="P147" s="36" t="str">
        <f>IF($A147="","",ROUND(SUMIFS(전표!$F$7:$F$282,전표!$A$7:$A$282,$A147)-SUMIFS(전표!$G$7:$G$282,전표!$A$7:$A$282,$A147),0))</f>
        <v/>
      </c>
      <c r="Q147" s="10">
        <f t="shared" si="6"/>
        <v>0</v>
      </c>
      <c r="R147" t="str">
        <f t="shared" si="8"/>
        <v/>
      </c>
    </row>
    <row r="148" spans="1:18" ht="20" customHeight="1">
      <c r="A148" s="29"/>
      <c r="B148" s="31"/>
      <c r="C148" s="26"/>
      <c r="D148" s="33"/>
      <c r="E148" s="26"/>
      <c r="F148" s="27"/>
      <c r="G148" s="27"/>
      <c r="H148" s="27"/>
      <c r="I148" s="33"/>
      <c r="J148" s="33"/>
      <c r="K148" s="34" t="str">
        <f t="shared" si="7"/>
        <v/>
      </c>
      <c r="L148" s="35" t="str">
        <f>IF($E148="","",IFERROR(INDEX(계정과목!$B$6:$B$58,MATCH($E148,계정과목!$A$6:$A$58,0)),"미등록"))</f>
        <v/>
      </c>
      <c r="M148" s="34" t="str">
        <f>IF($E148="","",IFERROR(INDEX(계정과목!$C$6:$C$58,MATCH($E148,계정과목!$A$6:$A$58,0)),""))</f>
        <v/>
      </c>
      <c r="N148" s="34" t="str">
        <f>IF($E148="","",IFERROR(INDEX(계정과목!$D$6:$D$58,MATCH($E148,계정과목!$A$6:$A$58,0)),""))</f>
        <v/>
      </c>
      <c r="O148" s="34" t="str">
        <f>IF($E148="","",IF(COUNTIF(계정과목!$A$6:$A$58,$E148)=0,"미등록","정상"))</f>
        <v/>
      </c>
      <c r="P148" s="36" t="str">
        <f>IF($A148="","",ROUND(SUMIFS(전표!$F$7:$F$282,전표!$A$7:$A$282,$A148)-SUMIFS(전표!$G$7:$G$282,전표!$A$7:$A$282,$A148),0))</f>
        <v/>
      </c>
      <c r="Q148" s="10">
        <f t="shared" si="6"/>
        <v>0</v>
      </c>
      <c r="R148" t="str">
        <f t="shared" si="8"/>
        <v/>
      </c>
    </row>
    <row r="149" spans="1:18" ht="20" customHeight="1">
      <c r="A149" s="29"/>
      <c r="B149" s="31"/>
      <c r="C149" s="26"/>
      <c r="D149" s="33"/>
      <c r="E149" s="26"/>
      <c r="F149" s="27"/>
      <c r="G149" s="27"/>
      <c r="H149" s="27"/>
      <c r="I149" s="33"/>
      <c r="J149" s="33"/>
      <c r="K149" s="34" t="str">
        <f t="shared" si="7"/>
        <v/>
      </c>
      <c r="L149" s="35" t="str">
        <f>IF($E149="","",IFERROR(INDEX(계정과목!$B$6:$B$58,MATCH($E149,계정과목!$A$6:$A$58,0)),"미등록"))</f>
        <v/>
      </c>
      <c r="M149" s="34" t="str">
        <f>IF($E149="","",IFERROR(INDEX(계정과목!$C$6:$C$58,MATCH($E149,계정과목!$A$6:$A$58,0)),""))</f>
        <v/>
      </c>
      <c r="N149" s="34" t="str">
        <f>IF($E149="","",IFERROR(INDEX(계정과목!$D$6:$D$58,MATCH($E149,계정과목!$A$6:$A$58,0)),""))</f>
        <v/>
      </c>
      <c r="O149" s="34" t="str">
        <f>IF($E149="","",IF(COUNTIF(계정과목!$A$6:$A$58,$E149)=0,"미등록","정상"))</f>
        <v/>
      </c>
      <c r="P149" s="36" t="str">
        <f>IF($A149="","",ROUND(SUMIFS(전표!$F$7:$F$282,전표!$A$7:$A$282,$A149)-SUMIFS(전표!$G$7:$G$282,전표!$A$7:$A$282,$A149),0))</f>
        <v/>
      </c>
      <c r="Q149" s="10">
        <f t="shared" si="6"/>
        <v>0</v>
      </c>
      <c r="R149" t="str">
        <f t="shared" si="8"/>
        <v/>
      </c>
    </row>
    <row r="150" spans="1:18" ht="20" customHeight="1">
      <c r="A150" s="29"/>
      <c r="B150" s="31"/>
      <c r="C150" s="26"/>
      <c r="D150" s="33"/>
      <c r="E150" s="26"/>
      <c r="F150" s="27"/>
      <c r="G150" s="27"/>
      <c r="H150" s="27"/>
      <c r="I150" s="33"/>
      <c r="J150" s="33"/>
      <c r="K150" s="34" t="str">
        <f t="shared" si="7"/>
        <v/>
      </c>
      <c r="L150" s="35" t="str">
        <f>IF($E150="","",IFERROR(INDEX(계정과목!$B$6:$B$58,MATCH($E150,계정과목!$A$6:$A$58,0)),"미등록"))</f>
        <v/>
      </c>
      <c r="M150" s="34" t="str">
        <f>IF($E150="","",IFERROR(INDEX(계정과목!$C$6:$C$58,MATCH($E150,계정과목!$A$6:$A$58,0)),""))</f>
        <v/>
      </c>
      <c r="N150" s="34" t="str">
        <f>IF($E150="","",IFERROR(INDEX(계정과목!$D$6:$D$58,MATCH($E150,계정과목!$A$6:$A$58,0)),""))</f>
        <v/>
      </c>
      <c r="O150" s="34" t="str">
        <f>IF($E150="","",IF(COUNTIF(계정과목!$A$6:$A$58,$E150)=0,"미등록","정상"))</f>
        <v/>
      </c>
      <c r="P150" s="36" t="str">
        <f>IF($A150="","",ROUND(SUMIFS(전표!$F$7:$F$282,전표!$A$7:$A$282,$A150)-SUMIFS(전표!$G$7:$G$282,전표!$A$7:$A$282,$A150),0))</f>
        <v/>
      </c>
      <c r="Q150" s="10">
        <f t="shared" si="6"/>
        <v>0</v>
      </c>
      <c r="R150" t="str">
        <f t="shared" si="8"/>
        <v/>
      </c>
    </row>
    <row r="151" spans="1:18" ht="20" customHeight="1">
      <c r="A151" s="29"/>
      <c r="B151" s="31"/>
      <c r="C151" s="26"/>
      <c r="D151" s="33"/>
      <c r="E151" s="26"/>
      <c r="F151" s="27"/>
      <c r="G151" s="27"/>
      <c r="H151" s="27"/>
      <c r="I151" s="33"/>
      <c r="J151" s="33"/>
      <c r="K151" s="34" t="str">
        <f t="shared" si="7"/>
        <v/>
      </c>
      <c r="L151" s="35" t="str">
        <f>IF($E151="","",IFERROR(INDEX(계정과목!$B$6:$B$58,MATCH($E151,계정과목!$A$6:$A$58,0)),"미등록"))</f>
        <v/>
      </c>
      <c r="M151" s="34" t="str">
        <f>IF($E151="","",IFERROR(INDEX(계정과목!$C$6:$C$58,MATCH($E151,계정과목!$A$6:$A$58,0)),""))</f>
        <v/>
      </c>
      <c r="N151" s="34" t="str">
        <f>IF($E151="","",IFERROR(INDEX(계정과목!$D$6:$D$58,MATCH($E151,계정과목!$A$6:$A$58,0)),""))</f>
        <v/>
      </c>
      <c r="O151" s="34" t="str">
        <f>IF($E151="","",IF(COUNTIF(계정과목!$A$6:$A$58,$E151)=0,"미등록","정상"))</f>
        <v/>
      </c>
      <c r="P151" s="36" t="str">
        <f>IF($A151="","",ROUND(SUMIFS(전표!$F$7:$F$282,전표!$A$7:$A$282,$A151)-SUMIFS(전표!$G$7:$G$282,전표!$A$7:$A$282,$A151),0))</f>
        <v/>
      </c>
      <c r="Q151" s="10">
        <f t="shared" si="6"/>
        <v>0</v>
      </c>
      <c r="R151" t="str">
        <f t="shared" si="8"/>
        <v/>
      </c>
    </row>
    <row r="152" spans="1:18" ht="20" customHeight="1">
      <c r="A152" s="29"/>
      <c r="B152" s="31"/>
      <c r="C152" s="26"/>
      <c r="D152" s="33"/>
      <c r="E152" s="26"/>
      <c r="F152" s="27"/>
      <c r="G152" s="27"/>
      <c r="H152" s="27"/>
      <c r="I152" s="33"/>
      <c r="J152" s="33"/>
      <c r="K152" s="34" t="str">
        <f t="shared" si="7"/>
        <v/>
      </c>
      <c r="L152" s="35" t="str">
        <f>IF($E152="","",IFERROR(INDEX(계정과목!$B$6:$B$58,MATCH($E152,계정과목!$A$6:$A$58,0)),"미등록"))</f>
        <v/>
      </c>
      <c r="M152" s="34" t="str">
        <f>IF($E152="","",IFERROR(INDEX(계정과목!$C$6:$C$58,MATCH($E152,계정과목!$A$6:$A$58,0)),""))</f>
        <v/>
      </c>
      <c r="N152" s="34" t="str">
        <f>IF($E152="","",IFERROR(INDEX(계정과목!$D$6:$D$58,MATCH($E152,계정과목!$A$6:$A$58,0)),""))</f>
        <v/>
      </c>
      <c r="O152" s="34" t="str">
        <f>IF($E152="","",IF(COUNTIF(계정과목!$A$6:$A$58,$E152)=0,"미등록","정상"))</f>
        <v/>
      </c>
      <c r="P152" s="36" t="str">
        <f>IF($A152="","",ROUND(SUMIFS(전표!$F$7:$F$282,전표!$A$7:$A$282,$A152)-SUMIFS(전표!$G$7:$G$282,전표!$A$7:$A$282,$A152),0))</f>
        <v/>
      </c>
      <c r="Q152" s="10">
        <f t="shared" si="6"/>
        <v>0</v>
      </c>
      <c r="R152" t="str">
        <f t="shared" si="8"/>
        <v/>
      </c>
    </row>
    <row r="153" spans="1:18" ht="20" customHeight="1">
      <c r="A153" s="29"/>
      <c r="B153" s="31"/>
      <c r="C153" s="26"/>
      <c r="D153" s="33"/>
      <c r="E153" s="26"/>
      <c r="F153" s="27"/>
      <c r="G153" s="27"/>
      <c r="H153" s="27"/>
      <c r="I153" s="33"/>
      <c r="J153" s="33"/>
      <c r="K153" s="34" t="str">
        <f t="shared" si="7"/>
        <v/>
      </c>
      <c r="L153" s="35" t="str">
        <f>IF($E153="","",IFERROR(INDEX(계정과목!$B$6:$B$58,MATCH($E153,계정과목!$A$6:$A$58,0)),"미등록"))</f>
        <v/>
      </c>
      <c r="M153" s="34" t="str">
        <f>IF($E153="","",IFERROR(INDEX(계정과목!$C$6:$C$58,MATCH($E153,계정과목!$A$6:$A$58,0)),""))</f>
        <v/>
      </c>
      <c r="N153" s="34" t="str">
        <f>IF($E153="","",IFERROR(INDEX(계정과목!$D$6:$D$58,MATCH($E153,계정과목!$A$6:$A$58,0)),""))</f>
        <v/>
      </c>
      <c r="O153" s="34" t="str">
        <f>IF($E153="","",IF(COUNTIF(계정과목!$A$6:$A$58,$E153)=0,"미등록","정상"))</f>
        <v/>
      </c>
      <c r="P153" s="36" t="str">
        <f>IF($A153="","",ROUND(SUMIFS(전표!$F$7:$F$282,전표!$A$7:$A$282,$A153)-SUMIFS(전표!$G$7:$G$282,전표!$A$7:$A$282,$A153),0))</f>
        <v/>
      </c>
      <c r="Q153" s="10">
        <f t="shared" si="6"/>
        <v>0</v>
      </c>
      <c r="R153" t="str">
        <f t="shared" si="8"/>
        <v/>
      </c>
    </row>
    <row r="154" spans="1:18" ht="20" customHeight="1">
      <c r="A154" s="29"/>
      <c r="B154" s="31"/>
      <c r="C154" s="26"/>
      <c r="D154" s="33"/>
      <c r="E154" s="26"/>
      <c r="F154" s="27"/>
      <c r="G154" s="27"/>
      <c r="H154" s="27"/>
      <c r="I154" s="33"/>
      <c r="J154" s="33"/>
      <c r="K154" s="34" t="str">
        <f t="shared" si="7"/>
        <v/>
      </c>
      <c r="L154" s="35" t="str">
        <f>IF($E154="","",IFERROR(INDEX(계정과목!$B$6:$B$58,MATCH($E154,계정과목!$A$6:$A$58,0)),"미등록"))</f>
        <v/>
      </c>
      <c r="M154" s="34" t="str">
        <f>IF($E154="","",IFERROR(INDEX(계정과목!$C$6:$C$58,MATCH($E154,계정과목!$A$6:$A$58,0)),""))</f>
        <v/>
      </c>
      <c r="N154" s="34" t="str">
        <f>IF($E154="","",IFERROR(INDEX(계정과목!$D$6:$D$58,MATCH($E154,계정과목!$A$6:$A$58,0)),""))</f>
        <v/>
      </c>
      <c r="O154" s="34" t="str">
        <f>IF($E154="","",IF(COUNTIF(계정과목!$A$6:$A$58,$E154)=0,"미등록","정상"))</f>
        <v/>
      </c>
      <c r="P154" s="36" t="str">
        <f>IF($A154="","",ROUND(SUMIFS(전표!$F$7:$F$282,전표!$A$7:$A$282,$A154)-SUMIFS(전표!$G$7:$G$282,전표!$A$7:$A$282,$A154),0))</f>
        <v/>
      </c>
      <c r="Q154" s="10">
        <f t="shared" si="6"/>
        <v>0</v>
      </c>
      <c r="R154" t="str">
        <f t="shared" si="8"/>
        <v/>
      </c>
    </row>
    <row r="155" spans="1:18" ht="20" customHeight="1">
      <c r="A155" s="29"/>
      <c r="B155" s="31"/>
      <c r="C155" s="26"/>
      <c r="D155" s="33"/>
      <c r="E155" s="26"/>
      <c r="F155" s="27"/>
      <c r="G155" s="27"/>
      <c r="H155" s="27"/>
      <c r="I155" s="33"/>
      <c r="J155" s="33"/>
      <c r="K155" s="34" t="str">
        <f t="shared" si="7"/>
        <v/>
      </c>
      <c r="L155" s="35" t="str">
        <f>IF($E155="","",IFERROR(INDEX(계정과목!$B$6:$B$58,MATCH($E155,계정과목!$A$6:$A$58,0)),"미등록"))</f>
        <v/>
      </c>
      <c r="M155" s="34" t="str">
        <f>IF($E155="","",IFERROR(INDEX(계정과목!$C$6:$C$58,MATCH($E155,계정과목!$A$6:$A$58,0)),""))</f>
        <v/>
      </c>
      <c r="N155" s="34" t="str">
        <f>IF($E155="","",IFERROR(INDEX(계정과목!$D$6:$D$58,MATCH($E155,계정과목!$A$6:$A$58,0)),""))</f>
        <v/>
      </c>
      <c r="O155" s="34" t="str">
        <f>IF($E155="","",IF(COUNTIF(계정과목!$A$6:$A$58,$E155)=0,"미등록","정상"))</f>
        <v/>
      </c>
      <c r="P155" s="36" t="str">
        <f>IF($A155="","",ROUND(SUMIFS(전표!$F$7:$F$282,전표!$A$7:$A$282,$A155)-SUMIFS(전표!$G$7:$G$282,전표!$A$7:$A$282,$A155),0))</f>
        <v/>
      </c>
      <c r="Q155" s="10">
        <f t="shared" si="6"/>
        <v>0</v>
      </c>
      <c r="R155" t="str">
        <f t="shared" si="8"/>
        <v/>
      </c>
    </row>
    <row r="156" spans="1:18" ht="20" customHeight="1">
      <c r="A156" s="29"/>
      <c r="B156" s="31"/>
      <c r="C156" s="26"/>
      <c r="D156" s="33"/>
      <c r="E156" s="26"/>
      <c r="F156" s="27"/>
      <c r="G156" s="27"/>
      <c r="H156" s="27"/>
      <c r="I156" s="33"/>
      <c r="J156" s="33"/>
      <c r="K156" s="34" t="str">
        <f t="shared" si="7"/>
        <v/>
      </c>
      <c r="L156" s="35" t="str">
        <f>IF($E156="","",IFERROR(INDEX(계정과목!$B$6:$B$58,MATCH($E156,계정과목!$A$6:$A$58,0)),"미등록"))</f>
        <v/>
      </c>
      <c r="M156" s="34" t="str">
        <f>IF($E156="","",IFERROR(INDEX(계정과목!$C$6:$C$58,MATCH($E156,계정과목!$A$6:$A$58,0)),""))</f>
        <v/>
      </c>
      <c r="N156" s="34" t="str">
        <f>IF($E156="","",IFERROR(INDEX(계정과목!$D$6:$D$58,MATCH($E156,계정과목!$A$6:$A$58,0)),""))</f>
        <v/>
      </c>
      <c r="O156" s="34" t="str">
        <f>IF($E156="","",IF(COUNTIF(계정과목!$A$6:$A$58,$E156)=0,"미등록","정상"))</f>
        <v/>
      </c>
      <c r="P156" s="36" t="str">
        <f>IF($A156="","",ROUND(SUMIFS(전표!$F$7:$F$282,전표!$A$7:$A$282,$A156)-SUMIFS(전표!$G$7:$G$282,전표!$A$7:$A$282,$A156),0))</f>
        <v/>
      </c>
      <c r="Q156" s="10">
        <f t="shared" si="6"/>
        <v>0</v>
      </c>
      <c r="R156" t="str">
        <f t="shared" si="8"/>
        <v/>
      </c>
    </row>
    <row r="157" spans="1:18" ht="20" customHeight="1">
      <c r="A157" s="29"/>
      <c r="B157" s="31"/>
      <c r="C157" s="26"/>
      <c r="D157" s="33"/>
      <c r="E157" s="26"/>
      <c r="F157" s="27"/>
      <c r="G157" s="27"/>
      <c r="H157" s="27"/>
      <c r="I157" s="33"/>
      <c r="J157" s="33"/>
      <c r="K157" s="34" t="str">
        <f t="shared" si="7"/>
        <v/>
      </c>
      <c r="L157" s="35" t="str">
        <f>IF($E157="","",IFERROR(INDEX(계정과목!$B$6:$B$58,MATCH($E157,계정과목!$A$6:$A$58,0)),"미등록"))</f>
        <v/>
      </c>
      <c r="M157" s="34" t="str">
        <f>IF($E157="","",IFERROR(INDEX(계정과목!$C$6:$C$58,MATCH($E157,계정과목!$A$6:$A$58,0)),""))</f>
        <v/>
      </c>
      <c r="N157" s="34" t="str">
        <f>IF($E157="","",IFERROR(INDEX(계정과목!$D$6:$D$58,MATCH($E157,계정과목!$A$6:$A$58,0)),""))</f>
        <v/>
      </c>
      <c r="O157" s="34" t="str">
        <f>IF($E157="","",IF(COUNTIF(계정과목!$A$6:$A$58,$E157)=0,"미등록","정상"))</f>
        <v/>
      </c>
      <c r="P157" s="36" t="str">
        <f>IF($A157="","",ROUND(SUMIFS(전표!$F$7:$F$282,전표!$A$7:$A$282,$A157)-SUMIFS(전표!$G$7:$G$282,전표!$A$7:$A$282,$A157),0))</f>
        <v/>
      </c>
      <c r="Q157" s="10">
        <f t="shared" si="6"/>
        <v>0</v>
      </c>
      <c r="R157" t="str">
        <f t="shared" si="8"/>
        <v/>
      </c>
    </row>
    <row r="158" spans="1:18" ht="20" customHeight="1">
      <c r="A158" s="29"/>
      <c r="B158" s="31"/>
      <c r="C158" s="26"/>
      <c r="D158" s="33"/>
      <c r="E158" s="26"/>
      <c r="F158" s="27"/>
      <c r="G158" s="27"/>
      <c r="H158" s="27"/>
      <c r="I158" s="33"/>
      <c r="J158" s="33"/>
      <c r="K158" s="34" t="str">
        <f t="shared" si="7"/>
        <v/>
      </c>
      <c r="L158" s="35" t="str">
        <f>IF($E158="","",IFERROR(INDEX(계정과목!$B$6:$B$58,MATCH($E158,계정과목!$A$6:$A$58,0)),"미등록"))</f>
        <v/>
      </c>
      <c r="M158" s="34" t="str">
        <f>IF($E158="","",IFERROR(INDEX(계정과목!$C$6:$C$58,MATCH($E158,계정과목!$A$6:$A$58,0)),""))</f>
        <v/>
      </c>
      <c r="N158" s="34" t="str">
        <f>IF($E158="","",IFERROR(INDEX(계정과목!$D$6:$D$58,MATCH($E158,계정과목!$A$6:$A$58,0)),""))</f>
        <v/>
      </c>
      <c r="O158" s="34" t="str">
        <f>IF($E158="","",IF(COUNTIF(계정과목!$A$6:$A$58,$E158)=0,"미등록","정상"))</f>
        <v/>
      </c>
      <c r="P158" s="36" t="str">
        <f>IF($A158="","",ROUND(SUMIFS(전표!$F$7:$F$282,전표!$A$7:$A$282,$A158)-SUMIFS(전표!$G$7:$G$282,전표!$A$7:$A$282,$A158),0))</f>
        <v/>
      </c>
      <c r="Q158" s="10">
        <f t="shared" si="6"/>
        <v>0</v>
      </c>
      <c r="R158" t="str">
        <f t="shared" si="8"/>
        <v/>
      </c>
    </row>
    <row r="159" spans="1:18" ht="20" customHeight="1">
      <c r="A159" s="29"/>
      <c r="B159" s="31"/>
      <c r="C159" s="26"/>
      <c r="D159" s="33"/>
      <c r="E159" s="26"/>
      <c r="F159" s="27"/>
      <c r="G159" s="27"/>
      <c r="H159" s="27"/>
      <c r="I159" s="33"/>
      <c r="J159" s="33"/>
      <c r="K159" s="34" t="str">
        <f t="shared" si="7"/>
        <v/>
      </c>
      <c r="L159" s="35" t="str">
        <f>IF($E159="","",IFERROR(INDEX(계정과목!$B$6:$B$58,MATCH($E159,계정과목!$A$6:$A$58,0)),"미등록"))</f>
        <v/>
      </c>
      <c r="M159" s="34" t="str">
        <f>IF($E159="","",IFERROR(INDEX(계정과목!$C$6:$C$58,MATCH($E159,계정과목!$A$6:$A$58,0)),""))</f>
        <v/>
      </c>
      <c r="N159" s="34" t="str">
        <f>IF($E159="","",IFERROR(INDEX(계정과목!$D$6:$D$58,MATCH($E159,계정과목!$A$6:$A$58,0)),""))</f>
        <v/>
      </c>
      <c r="O159" s="34" t="str">
        <f>IF($E159="","",IF(COUNTIF(계정과목!$A$6:$A$58,$E159)=0,"미등록","정상"))</f>
        <v/>
      </c>
      <c r="P159" s="36" t="str">
        <f>IF($A159="","",ROUND(SUMIFS(전표!$F$7:$F$282,전표!$A$7:$A$282,$A159)-SUMIFS(전표!$G$7:$G$282,전표!$A$7:$A$282,$A159),0))</f>
        <v/>
      </c>
      <c r="Q159" s="10">
        <f t="shared" si="6"/>
        <v>0</v>
      </c>
      <c r="R159" t="str">
        <f t="shared" si="8"/>
        <v/>
      </c>
    </row>
    <row r="160" spans="1:18" ht="20" customHeight="1">
      <c r="A160" s="29"/>
      <c r="B160" s="31"/>
      <c r="C160" s="26"/>
      <c r="D160" s="33"/>
      <c r="E160" s="26"/>
      <c r="F160" s="27"/>
      <c r="G160" s="27"/>
      <c r="H160" s="27"/>
      <c r="I160" s="33"/>
      <c r="J160" s="33"/>
      <c r="K160" s="34" t="str">
        <f t="shared" si="7"/>
        <v/>
      </c>
      <c r="L160" s="35" t="str">
        <f>IF($E160="","",IFERROR(INDEX(계정과목!$B$6:$B$58,MATCH($E160,계정과목!$A$6:$A$58,0)),"미등록"))</f>
        <v/>
      </c>
      <c r="M160" s="34" t="str">
        <f>IF($E160="","",IFERROR(INDEX(계정과목!$C$6:$C$58,MATCH($E160,계정과목!$A$6:$A$58,0)),""))</f>
        <v/>
      </c>
      <c r="N160" s="34" t="str">
        <f>IF($E160="","",IFERROR(INDEX(계정과목!$D$6:$D$58,MATCH($E160,계정과목!$A$6:$A$58,0)),""))</f>
        <v/>
      </c>
      <c r="O160" s="34" t="str">
        <f>IF($E160="","",IF(COUNTIF(계정과목!$A$6:$A$58,$E160)=0,"미등록","정상"))</f>
        <v/>
      </c>
      <c r="P160" s="36" t="str">
        <f>IF($A160="","",ROUND(SUMIFS(전표!$F$7:$F$282,전표!$A$7:$A$282,$A160)-SUMIFS(전표!$G$7:$G$282,전표!$A$7:$A$282,$A160),0))</f>
        <v/>
      </c>
      <c r="Q160" s="10">
        <f t="shared" si="6"/>
        <v>0</v>
      </c>
      <c r="R160" t="str">
        <f t="shared" si="8"/>
        <v/>
      </c>
    </row>
    <row r="161" spans="1:18" ht="20" customHeight="1">
      <c r="A161" s="29"/>
      <c r="B161" s="31"/>
      <c r="C161" s="26"/>
      <c r="D161" s="33"/>
      <c r="E161" s="26"/>
      <c r="F161" s="27"/>
      <c r="G161" s="27"/>
      <c r="H161" s="27"/>
      <c r="I161" s="33"/>
      <c r="J161" s="33"/>
      <c r="K161" s="34" t="str">
        <f t="shared" si="7"/>
        <v/>
      </c>
      <c r="L161" s="35" t="str">
        <f>IF($E161="","",IFERROR(INDEX(계정과목!$B$6:$B$58,MATCH($E161,계정과목!$A$6:$A$58,0)),"미등록"))</f>
        <v/>
      </c>
      <c r="M161" s="34" t="str">
        <f>IF($E161="","",IFERROR(INDEX(계정과목!$C$6:$C$58,MATCH($E161,계정과목!$A$6:$A$58,0)),""))</f>
        <v/>
      </c>
      <c r="N161" s="34" t="str">
        <f>IF($E161="","",IFERROR(INDEX(계정과목!$D$6:$D$58,MATCH($E161,계정과목!$A$6:$A$58,0)),""))</f>
        <v/>
      </c>
      <c r="O161" s="34" t="str">
        <f>IF($E161="","",IF(COUNTIF(계정과목!$A$6:$A$58,$E161)=0,"미등록","정상"))</f>
        <v/>
      </c>
      <c r="P161" s="36" t="str">
        <f>IF($A161="","",ROUND(SUMIFS(전표!$F$7:$F$282,전표!$A$7:$A$282,$A161)-SUMIFS(전표!$G$7:$G$282,전표!$A$7:$A$282,$A161),0))</f>
        <v/>
      </c>
      <c r="Q161" s="10">
        <f t="shared" si="6"/>
        <v>0</v>
      </c>
      <c r="R161" t="str">
        <f t="shared" si="8"/>
        <v/>
      </c>
    </row>
    <row r="162" spans="1:18" ht="20" customHeight="1">
      <c r="A162" s="29"/>
      <c r="B162" s="31"/>
      <c r="C162" s="26"/>
      <c r="D162" s="33"/>
      <c r="E162" s="26"/>
      <c r="F162" s="27"/>
      <c r="G162" s="27"/>
      <c r="H162" s="27"/>
      <c r="I162" s="33"/>
      <c r="J162" s="33"/>
      <c r="K162" s="34" t="str">
        <f t="shared" si="7"/>
        <v/>
      </c>
      <c r="L162" s="35" t="str">
        <f>IF($E162="","",IFERROR(INDEX(계정과목!$B$6:$B$58,MATCH($E162,계정과목!$A$6:$A$58,0)),"미등록"))</f>
        <v/>
      </c>
      <c r="M162" s="34" t="str">
        <f>IF($E162="","",IFERROR(INDEX(계정과목!$C$6:$C$58,MATCH($E162,계정과목!$A$6:$A$58,0)),""))</f>
        <v/>
      </c>
      <c r="N162" s="34" t="str">
        <f>IF($E162="","",IFERROR(INDEX(계정과목!$D$6:$D$58,MATCH($E162,계정과목!$A$6:$A$58,0)),""))</f>
        <v/>
      </c>
      <c r="O162" s="34" t="str">
        <f>IF($E162="","",IF(COUNTIF(계정과목!$A$6:$A$58,$E162)=0,"미등록","정상"))</f>
        <v/>
      </c>
      <c r="P162" s="36" t="str">
        <f>IF($A162="","",ROUND(SUMIFS(전표!$F$7:$F$282,전표!$A$7:$A$282,$A162)-SUMIFS(전표!$G$7:$G$282,전표!$A$7:$A$282,$A162),0))</f>
        <v/>
      </c>
      <c r="Q162" s="10">
        <f t="shared" si="6"/>
        <v>0</v>
      </c>
      <c r="R162" t="str">
        <f t="shared" si="8"/>
        <v/>
      </c>
    </row>
    <row r="163" spans="1:18" ht="20" customHeight="1">
      <c r="A163" s="29"/>
      <c r="B163" s="31"/>
      <c r="C163" s="26"/>
      <c r="D163" s="33"/>
      <c r="E163" s="26"/>
      <c r="F163" s="27"/>
      <c r="G163" s="27"/>
      <c r="H163" s="27"/>
      <c r="I163" s="33"/>
      <c r="J163" s="33"/>
      <c r="K163" s="34" t="str">
        <f t="shared" si="7"/>
        <v/>
      </c>
      <c r="L163" s="35" t="str">
        <f>IF($E163="","",IFERROR(INDEX(계정과목!$B$6:$B$58,MATCH($E163,계정과목!$A$6:$A$58,0)),"미등록"))</f>
        <v/>
      </c>
      <c r="M163" s="34" t="str">
        <f>IF($E163="","",IFERROR(INDEX(계정과목!$C$6:$C$58,MATCH($E163,계정과목!$A$6:$A$58,0)),""))</f>
        <v/>
      </c>
      <c r="N163" s="34" t="str">
        <f>IF($E163="","",IFERROR(INDEX(계정과목!$D$6:$D$58,MATCH($E163,계정과목!$A$6:$A$58,0)),""))</f>
        <v/>
      </c>
      <c r="O163" s="34" t="str">
        <f>IF($E163="","",IF(COUNTIF(계정과목!$A$6:$A$58,$E163)=0,"미등록","정상"))</f>
        <v/>
      </c>
      <c r="P163" s="36" t="str">
        <f>IF($A163="","",ROUND(SUMIFS(전표!$F$7:$F$282,전표!$A$7:$A$282,$A163)-SUMIFS(전표!$G$7:$G$282,전표!$A$7:$A$282,$A163),0))</f>
        <v/>
      </c>
      <c r="Q163" s="10">
        <f t="shared" si="6"/>
        <v>0</v>
      </c>
      <c r="R163" t="str">
        <f t="shared" si="8"/>
        <v/>
      </c>
    </row>
    <row r="164" spans="1:18" ht="20" customHeight="1">
      <c r="A164" s="29"/>
      <c r="B164" s="31"/>
      <c r="C164" s="26"/>
      <c r="D164" s="33"/>
      <c r="E164" s="26"/>
      <c r="F164" s="27"/>
      <c r="G164" s="27"/>
      <c r="H164" s="27"/>
      <c r="I164" s="33"/>
      <c r="J164" s="33"/>
      <c r="K164" s="34" t="str">
        <f t="shared" si="7"/>
        <v/>
      </c>
      <c r="L164" s="35" t="str">
        <f>IF($E164="","",IFERROR(INDEX(계정과목!$B$6:$B$58,MATCH($E164,계정과목!$A$6:$A$58,0)),"미등록"))</f>
        <v/>
      </c>
      <c r="M164" s="34" t="str">
        <f>IF($E164="","",IFERROR(INDEX(계정과목!$C$6:$C$58,MATCH($E164,계정과목!$A$6:$A$58,0)),""))</f>
        <v/>
      </c>
      <c r="N164" s="34" t="str">
        <f>IF($E164="","",IFERROR(INDEX(계정과목!$D$6:$D$58,MATCH($E164,계정과목!$A$6:$A$58,0)),""))</f>
        <v/>
      </c>
      <c r="O164" s="34" t="str">
        <f>IF($E164="","",IF(COUNTIF(계정과목!$A$6:$A$58,$E164)=0,"미등록","정상"))</f>
        <v/>
      </c>
      <c r="P164" s="36" t="str">
        <f>IF($A164="","",ROUND(SUMIFS(전표!$F$7:$F$282,전표!$A$7:$A$282,$A164)-SUMIFS(전표!$G$7:$G$282,전표!$A$7:$A$282,$A164),0))</f>
        <v/>
      </c>
      <c r="Q164" s="10">
        <f t="shared" si="6"/>
        <v>0</v>
      </c>
      <c r="R164" t="str">
        <f t="shared" si="8"/>
        <v/>
      </c>
    </row>
    <row r="165" spans="1:18" ht="20" customHeight="1">
      <c r="A165" s="29"/>
      <c r="B165" s="31"/>
      <c r="C165" s="26"/>
      <c r="D165" s="33"/>
      <c r="E165" s="26"/>
      <c r="F165" s="27"/>
      <c r="G165" s="27"/>
      <c r="H165" s="27"/>
      <c r="I165" s="33"/>
      <c r="J165" s="33"/>
      <c r="K165" s="34" t="str">
        <f t="shared" si="7"/>
        <v/>
      </c>
      <c r="L165" s="35" t="str">
        <f>IF($E165="","",IFERROR(INDEX(계정과목!$B$6:$B$58,MATCH($E165,계정과목!$A$6:$A$58,0)),"미등록"))</f>
        <v/>
      </c>
      <c r="M165" s="34" t="str">
        <f>IF($E165="","",IFERROR(INDEX(계정과목!$C$6:$C$58,MATCH($E165,계정과목!$A$6:$A$58,0)),""))</f>
        <v/>
      </c>
      <c r="N165" s="34" t="str">
        <f>IF($E165="","",IFERROR(INDEX(계정과목!$D$6:$D$58,MATCH($E165,계정과목!$A$6:$A$58,0)),""))</f>
        <v/>
      </c>
      <c r="O165" s="34" t="str">
        <f>IF($E165="","",IF(COUNTIF(계정과목!$A$6:$A$58,$E165)=0,"미등록","정상"))</f>
        <v/>
      </c>
      <c r="P165" s="36" t="str">
        <f>IF($A165="","",ROUND(SUMIFS(전표!$F$7:$F$282,전표!$A$7:$A$282,$A165)-SUMIFS(전표!$G$7:$G$282,전표!$A$7:$A$282,$A165),0))</f>
        <v/>
      </c>
      <c r="Q165" s="10">
        <f t="shared" si="6"/>
        <v>0</v>
      </c>
      <c r="R165" t="str">
        <f t="shared" si="8"/>
        <v/>
      </c>
    </row>
    <row r="166" spans="1:18" ht="20" customHeight="1">
      <c r="A166" s="29"/>
      <c r="B166" s="31"/>
      <c r="C166" s="26"/>
      <c r="D166" s="33"/>
      <c r="E166" s="26"/>
      <c r="F166" s="27"/>
      <c r="G166" s="27"/>
      <c r="H166" s="27"/>
      <c r="I166" s="33"/>
      <c r="J166" s="33"/>
      <c r="K166" s="34" t="str">
        <f t="shared" si="7"/>
        <v/>
      </c>
      <c r="L166" s="35" t="str">
        <f>IF($E166="","",IFERROR(INDEX(계정과목!$B$6:$B$58,MATCH($E166,계정과목!$A$6:$A$58,0)),"미등록"))</f>
        <v/>
      </c>
      <c r="M166" s="34" t="str">
        <f>IF($E166="","",IFERROR(INDEX(계정과목!$C$6:$C$58,MATCH($E166,계정과목!$A$6:$A$58,0)),""))</f>
        <v/>
      </c>
      <c r="N166" s="34" t="str">
        <f>IF($E166="","",IFERROR(INDEX(계정과목!$D$6:$D$58,MATCH($E166,계정과목!$A$6:$A$58,0)),""))</f>
        <v/>
      </c>
      <c r="O166" s="34" t="str">
        <f>IF($E166="","",IF(COUNTIF(계정과목!$A$6:$A$58,$E166)=0,"미등록","정상"))</f>
        <v/>
      </c>
      <c r="P166" s="36" t="str">
        <f>IF($A166="","",ROUND(SUMIFS(전표!$F$7:$F$282,전표!$A$7:$A$282,$A166)-SUMIFS(전표!$G$7:$G$282,전표!$A$7:$A$282,$A166),0))</f>
        <v/>
      </c>
      <c r="Q166" s="10">
        <f t="shared" si="6"/>
        <v>0</v>
      </c>
      <c r="R166" t="str">
        <f t="shared" si="8"/>
        <v/>
      </c>
    </row>
    <row r="167" spans="1:18" ht="20" customHeight="1">
      <c r="A167" s="29"/>
      <c r="B167" s="31"/>
      <c r="C167" s="26"/>
      <c r="D167" s="33"/>
      <c r="E167" s="26"/>
      <c r="F167" s="27"/>
      <c r="G167" s="27"/>
      <c r="H167" s="27"/>
      <c r="I167" s="33"/>
      <c r="J167" s="33"/>
      <c r="K167" s="34" t="str">
        <f t="shared" si="7"/>
        <v/>
      </c>
      <c r="L167" s="35" t="str">
        <f>IF($E167="","",IFERROR(INDEX(계정과목!$B$6:$B$58,MATCH($E167,계정과목!$A$6:$A$58,0)),"미등록"))</f>
        <v/>
      </c>
      <c r="M167" s="34" t="str">
        <f>IF($E167="","",IFERROR(INDEX(계정과목!$C$6:$C$58,MATCH($E167,계정과목!$A$6:$A$58,0)),""))</f>
        <v/>
      </c>
      <c r="N167" s="34" t="str">
        <f>IF($E167="","",IFERROR(INDEX(계정과목!$D$6:$D$58,MATCH($E167,계정과목!$A$6:$A$58,0)),""))</f>
        <v/>
      </c>
      <c r="O167" s="34" t="str">
        <f>IF($E167="","",IF(COUNTIF(계정과목!$A$6:$A$58,$E167)=0,"미등록","정상"))</f>
        <v/>
      </c>
      <c r="P167" s="36" t="str">
        <f>IF($A167="","",ROUND(SUMIFS(전표!$F$7:$F$282,전표!$A$7:$A$282,$A167)-SUMIFS(전표!$G$7:$G$282,전표!$A$7:$A$282,$A167),0))</f>
        <v/>
      </c>
      <c r="Q167" s="10">
        <f t="shared" si="6"/>
        <v>0</v>
      </c>
      <c r="R167" t="str">
        <f t="shared" si="8"/>
        <v/>
      </c>
    </row>
    <row r="168" spans="1:18" ht="20" customHeight="1">
      <c r="A168" s="29"/>
      <c r="B168" s="31"/>
      <c r="C168" s="26"/>
      <c r="D168" s="33"/>
      <c r="E168" s="26"/>
      <c r="F168" s="27"/>
      <c r="G168" s="27"/>
      <c r="H168" s="27"/>
      <c r="I168" s="33"/>
      <c r="J168" s="33"/>
      <c r="K168" s="34" t="str">
        <f t="shared" si="7"/>
        <v/>
      </c>
      <c r="L168" s="35" t="str">
        <f>IF($E168="","",IFERROR(INDEX(계정과목!$B$6:$B$58,MATCH($E168,계정과목!$A$6:$A$58,0)),"미등록"))</f>
        <v/>
      </c>
      <c r="M168" s="34" t="str">
        <f>IF($E168="","",IFERROR(INDEX(계정과목!$C$6:$C$58,MATCH($E168,계정과목!$A$6:$A$58,0)),""))</f>
        <v/>
      </c>
      <c r="N168" s="34" t="str">
        <f>IF($E168="","",IFERROR(INDEX(계정과목!$D$6:$D$58,MATCH($E168,계정과목!$A$6:$A$58,0)),""))</f>
        <v/>
      </c>
      <c r="O168" s="34" t="str">
        <f>IF($E168="","",IF(COUNTIF(계정과목!$A$6:$A$58,$E168)=0,"미등록","정상"))</f>
        <v/>
      </c>
      <c r="P168" s="36" t="str">
        <f>IF($A168="","",ROUND(SUMIFS(전표!$F$7:$F$282,전표!$A$7:$A$282,$A168)-SUMIFS(전표!$G$7:$G$282,전표!$A$7:$A$282,$A168),0))</f>
        <v/>
      </c>
      <c r="Q168" s="10">
        <f t="shared" si="6"/>
        <v>0</v>
      </c>
      <c r="R168" t="str">
        <f t="shared" si="8"/>
        <v/>
      </c>
    </row>
    <row r="169" spans="1:18" ht="20" customHeight="1">
      <c r="A169" s="29"/>
      <c r="B169" s="31"/>
      <c r="C169" s="26"/>
      <c r="D169" s="33"/>
      <c r="E169" s="26"/>
      <c r="F169" s="27"/>
      <c r="G169" s="27"/>
      <c r="H169" s="27"/>
      <c r="I169" s="33"/>
      <c r="J169" s="33"/>
      <c r="K169" s="34" t="str">
        <f t="shared" si="7"/>
        <v/>
      </c>
      <c r="L169" s="35" t="str">
        <f>IF($E169="","",IFERROR(INDEX(계정과목!$B$6:$B$58,MATCH($E169,계정과목!$A$6:$A$58,0)),"미등록"))</f>
        <v/>
      </c>
      <c r="M169" s="34" t="str">
        <f>IF($E169="","",IFERROR(INDEX(계정과목!$C$6:$C$58,MATCH($E169,계정과목!$A$6:$A$58,0)),""))</f>
        <v/>
      </c>
      <c r="N169" s="34" t="str">
        <f>IF($E169="","",IFERROR(INDEX(계정과목!$D$6:$D$58,MATCH($E169,계정과목!$A$6:$A$58,0)),""))</f>
        <v/>
      </c>
      <c r="O169" s="34" t="str">
        <f>IF($E169="","",IF(COUNTIF(계정과목!$A$6:$A$58,$E169)=0,"미등록","정상"))</f>
        <v/>
      </c>
      <c r="P169" s="36" t="str">
        <f>IF($A169="","",ROUND(SUMIFS(전표!$F$7:$F$282,전표!$A$7:$A$282,$A169)-SUMIFS(전표!$G$7:$G$282,전표!$A$7:$A$282,$A169),0))</f>
        <v/>
      </c>
      <c r="Q169" s="10">
        <f t="shared" si="6"/>
        <v>0</v>
      </c>
      <c r="R169" t="str">
        <f t="shared" si="8"/>
        <v/>
      </c>
    </row>
    <row r="170" spans="1:18" ht="20" customHeight="1">
      <c r="A170" s="29"/>
      <c r="B170" s="31"/>
      <c r="C170" s="26"/>
      <c r="D170" s="33"/>
      <c r="E170" s="26"/>
      <c r="F170" s="27"/>
      <c r="G170" s="27"/>
      <c r="H170" s="27"/>
      <c r="I170" s="33"/>
      <c r="J170" s="33"/>
      <c r="K170" s="34" t="str">
        <f t="shared" si="7"/>
        <v/>
      </c>
      <c r="L170" s="35" t="str">
        <f>IF($E170="","",IFERROR(INDEX(계정과목!$B$6:$B$58,MATCH($E170,계정과목!$A$6:$A$58,0)),"미등록"))</f>
        <v/>
      </c>
      <c r="M170" s="34" t="str">
        <f>IF($E170="","",IFERROR(INDEX(계정과목!$C$6:$C$58,MATCH($E170,계정과목!$A$6:$A$58,0)),""))</f>
        <v/>
      </c>
      <c r="N170" s="34" t="str">
        <f>IF($E170="","",IFERROR(INDEX(계정과목!$D$6:$D$58,MATCH($E170,계정과목!$A$6:$A$58,0)),""))</f>
        <v/>
      </c>
      <c r="O170" s="34" t="str">
        <f>IF($E170="","",IF(COUNTIF(계정과목!$A$6:$A$58,$E170)=0,"미등록","정상"))</f>
        <v/>
      </c>
      <c r="P170" s="36" t="str">
        <f>IF($A170="","",ROUND(SUMIFS(전표!$F$7:$F$282,전표!$A$7:$A$282,$A170)-SUMIFS(전표!$G$7:$G$282,전표!$A$7:$A$282,$A170),0))</f>
        <v/>
      </c>
      <c r="Q170" s="10">
        <f t="shared" si="6"/>
        <v>0</v>
      </c>
      <c r="R170" t="str">
        <f t="shared" si="8"/>
        <v/>
      </c>
    </row>
    <row r="171" spans="1:18" ht="20" customHeight="1">
      <c r="A171" s="29"/>
      <c r="B171" s="31"/>
      <c r="C171" s="26"/>
      <c r="D171" s="33"/>
      <c r="E171" s="26"/>
      <c r="F171" s="27"/>
      <c r="G171" s="27"/>
      <c r="H171" s="27"/>
      <c r="I171" s="33"/>
      <c r="J171" s="33"/>
      <c r="K171" s="34" t="str">
        <f t="shared" si="7"/>
        <v/>
      </c>
      <c r="L171" s="35" t="str">
        <f>IF($E171="","",IFERROR(INDEX(계정과목!$B$6:$B$58,MATCH($E171,계정과목!$A$6:$A$58,0)),"미등록"))</f>
        <v/>
      </c>
      <c r="M171" s="34" t="str">
        <f>IF($E171="","",IFERROR(INDEX(계정과목!$C$6:$C$58,MATCH($E171,계정과목!$A$6:$A$58,0)),""))</f>
        <v/>
      </c>
      <c r="N171" s="34" t="str">
        <f>IF($E171="","",IFERROR(INDEX(계정과목!$D$6:$D$58,MATCH($E171,계정과목!$A$6:$A$58,0)),""))</f>
        <v/>
      </c>
      <c r="O171" s="34" t="str">
        <f>IF($E171="","",IF(COUNTIF(계정과목!$A$6:$A$58,$E171)=0,"미등록","정상"))</f>
        <v/>
      </c>
      <c r="P171" s="36" t="str">
        <f>IF($A171="","",ROUND(SUMIFS(전표!$F$7:$F$282,전표!$A$7:$A$282,$A171)-SUMIFS(전표!$G$7:$G$282,전표!$A$7:$A$282,$A171),0))</f>
        <v/>
      </c>
      <c r="Q171" s="10">
        <f t="shared" si="6"/>
        <v>0</v>
      </c>
      <c r="R171" t="str">
        <f t="shared" si="8"/>
        <v/>
      </c>
    </row>
    <row r="172" spans="1:18" ht="20" customHeight="1">
      <c r="A172" s="29"/>
      <c r="B172" s="31"/>
      <c r="C172" s="26"/>
      <c r="D172" s="33"/>
      <c r="E172" s="26"/>
      <c r="F172" s="27"/>
      <c r="G172" s="27"/>
      <c r="H172" s="27"/>
      <c r="I172" s="33"/>
      <c r="J172" s="33"/>
      <c r="K172" s="34" t="str">
        <f t="shared" si="7"/>
        <v/>
      </c>
      <c r="L172" s="35" t="str">
        <f>IF($E172="","",IFERROR(INDEX(계정과목!$B$6:$B$58,MATCH($E172,계정과목!$A$6:$A$58,0)),"미등록"))</f>
        <v/>
      </c>
      <c r="M172" s="34" t="str">
        <f>IF($E172="","",IFERROR(INDEX(계정과목!$C$6:$C$58,MATCH($E172,계정과목!$A$6:$A$58,0)),""))</f>
        <v/>
      </c>
      <c r="N172" s="34" t="str">
        <f>IF($E172="","",IFERROR(INDEX(계정과목!$D$6:$D$58,MATCH($E172,계정과목!$A$6:$A$58,0)),""))</f>
        <v/>
      </c>
      <c r="O172" s="34" t="str">
        <f>IF($E172="","",IF(COUNTIF(계정과목!$A$6:$A$58,$E172)=0,"미등록","정상"))</f>
        <v/>
      </c>
      <c r="P172" s="36" t="str">
        <f>IF($A172="","",ROUND(SUMIFS(전표!$F$7:$F$282,전표!$A$7:$A$282,$A172)-SUMIFS(전표!$G$7:$G$282,전표!$A$7:$A$282,$A172),0))</f>
        <v/>
      </c>
      <c r="Q172" s="10">
        <f t="shared" si="6"/>
        <v>0</v>
      </c>
      <c r="R172" t="str">
        <f t="shared" si="8"/>
        <v/>
      </c>
    </row>
    <row r="173" spans="1:18" ht="20" customHeight="1">
      <c r="A173" s="29"/>
      <c r="B173" s="31"/>
      <c r="C173" s="26"/>
      <c r="D173" s="33"/>
      <c r="E173" s="26"/>
      <c r="F173" s="27"/>
      <c r="G173" s="27"/>
      <c r="H173" s="27"/>
      <c r="I173" s="33"/>
      <c r="J173" s="33"/>
      <c r="K173" s="34" t="str">
        <f t="shared" si="7"/>
        <v/>
      </c>
      <c r="L173" s="35" t="str">
        <f>IF($E173="","",IFERROR(INDEX(계정과목!$B$6:$B$58,MATCH($E173,계정과목!$A$6:$A$58,0)),"미등록"))</f>
        <v/>
      </c>
      <c r="M173" s="34" t="str">
        <f>IF($E173="","",IFERROR(INDEX(계정과목!$C$6:$C$58,MATCH($E173,계정과목!$A$6:$A$58,0)),""))</f>
        <v/>
      </c>
      <c r="N173" s="34" t="str">
        <f>IF($E173="","",IFERROR(INDEX(계정과목!$D$6:$D$58,MATCH($E173,계정과목!$A$6:$A$58,0)),""))</f>
        <v/>
      </c>
      <c r="O173" s="34" t="str">
        <f>IF($E173="","",IF(COUNTIF(계정과목!$A$6:$A$58,$E173)=0,"미등록","정상"))</f>
        <v/>
      </c>
      <c r="P173" s="36" t="str">
        <f>IF($A173="","",ROUND(SUMIFS(전표!$F$7:$F$282,전표!$A$7:$A$282,$A173)-SUMIFS(전표!$G$7:$G$282,전표!$A$7:$A$282,$A173),0))</f>
        <v/>
      </c>
      <c r="Q173" s="10">
        <f t="shared" si="6"/>
        <v>0</v>
      </c>
      <c r="R173" t="str">
        <f t="shared" si="8"/>
        <v/>
      </c>
    </row>
    <row r="174" spans="1:18" ht="20" customHeight="1">
      <c r="A174" s="29"/>
      <c r="B174" s="31"/>
      <c r="C174" s="26"/>
      <c r="D174" s="33"/>
      <c r="E174" s="26"/>
      <c r="F174" s="27"/>
      <c r="G174" s="27"/>
      <c r="H174" s="27"/>
      <c r="I174" s="33"/>
      <c r="J174" s="33"/>
      <c r="K174" s="34" t="str">
        <f t="shared" si="7"/>
        <v/>
      </c>
      <c r="L174" s="35" t="str">
        <f>IF($E174="","",IFERROR(INDEX(계정과목!$B$6:$B$58,MATCH($E174,계정과목!$A$6:$A$58,0)),"미등록"))</f>
        <v/>
      </c>
      <c r="M174" s="34" t="str">
        <f>IF($E174="","",IFERROR(INDEX(계정과목!$C$6:$C$58,MATCH($E174,계정과목!$A$6:$A$58,0)),""))</f>
        <v/>
      </c>
      <c r="N174" s="34" t="str">
        <f>IF($E174="","",IFERROR(INDEX(계정과목!$D$6:$D$58,MATCH($E174,계정과목!$A$6:$A$58,0)),""))</f>
        <v/>
      </c>
      <c r="O174" s="34" t="str">
        <f>IF($E174="","",IF(COUNTIF(계정과목!$A$6:$A$58,$E174)=0,"미등록","정상"))</f>
        <v/>
      </c>
      <c r="P174" s="36" t="str">
        <f>IF($A174="","",ROUND(SUMIFS(전표!$F$7:$F$282,전표!$A$7:$A$282,$A174)-SUMIFS(전표!$G$7:$G$282,전표!$A$7:$A$282,$A174),0))</f>
        <v/>
      </c>
      <c r="Q174" s="10">
        <f t="shared" si="6"/>
        <v>0</v>
      </c>
      <c r="R174" t="str">
        <f t="shared" si="8"/>
        <v/>
      </c>
    </row>
    <row r="175" spans="1:18" ht="20" customHeight="1">
      <c r="A175" s="29"/>
      <c r="B175" s="31"/>
      <c r="C175" s="26"/>
      <c r="D175" s="33"/>
      <c r="E175" s="26"/>
      <c r="F175" s="27"/>
      <c r="G175" s="27"/>
      <c r="H175" s="27"/>
      <c r="I175" s="33"/>
      <c r="J175" s="33"/>
      <c r="K175" s="34" t="str">
        <f t="shared" si="7"/>
        <v/>
      </c>
      <c r="L175" s="35" t="str">
        <f>IF($E175="","",IFERROR(INDEX(계정과목!$B$6:$B$58,MATCH($E175,계정과목!$A$6:$A$58,0)),"미등록"))</f>
        <v/>
      </c>
      <c r="M175" s="34" t="str">
        <f>IF($E175="","",IFERROR(INDEX(계정과목!$C$6:$C$58,MATCH($E175,계정과목!$A$6:$A$58,0)),""))</f>
        <v/>
      </c>
      <c r="N175" s="34" t="str">
        <f>IF($E175="","",IFERROR(INDEX(계정과목!$D$6:$D$58,MATCH($E175,계정과목!$A$6:$A$58,0)),""))</f>
        <v/>
      </c>
      <c r="O175" s="34" t="str">
        <f>IF($E175="","",IF(COUNTIF(계정과목!$A$6:$A$58,$E175)=0,"미등록","정상"))</f>
        <v/>
      </c>
      <c r="P175" s="36" t="str">
        <f>IF($A175="","",ROUND(SUMIFS(전표!$F$7:$F$282,전표!$A$7:$A$282,$A175)-SUMIFS(전표!$G$7:$G$282,전표!$A$7:$A$282,$A175),0))</f>
        <v/>
      </c>
      <c r="Q175" s="10">
        <f t="shared" ref="Q175:Q238" si="9">IF(ISNUMBER($P175),IF(ABS($P175)&gt;=1,1,0),0)</f>
        <v>0</v>
      </c>
      <c r="R175" t="str">
        <f t="shared" si="8"/>
        <v/>
      </c>
    </row>
    <row r="176" spans="1:18" ht="20" customHeight="1">
      <c r="A176" s="29"/>
      <c r="B176" s="31"/>
      <c r="C176" s="26"/>
      <c r="D176" s="33"/>
      <c r="E176" s="26"/>
      <c r="F176" s="27"/>
      <c r="G176" s="27"/>
      <c r="H176" s="27"/>
      <c r="I176" s="33"/>
      <c r="J176" s="33"/>
      <c r="K176" s="34" t="str">
        <f t="shared" si="7"/>
        <v/>
      </c>
      <c r="L176" s="35" t="str">
        <f>IF($E176="","",IFERROR(INDEX(계정과목!$B$6:$B$58,MATCH($E176,계정과목!$A$6:$A$58,0)),"미등록"))</f>
        <v/>
      </c>
      <c r="M176" s="34" t="str">
        <f>IF($E176="","",IFERROR(INDEX(계정과목!$C$6:$C$58,MATCH($E176,계정과목!$A$6:$A$58,0)),""))</f>
        <v/>
      </c>
      <c r="N176" s="34" t="str">
        <f>IF($E176="","",IFERROR(INDEX(계정과목!$D$6:$D$58,MATCH($E176,계정과목!$A$6:$A$58,0)),""))</f>
        <v/>
      </c>
      <c r="O176" s="34" t="str">
        <f>IF($E176="","",IF(COUNTIF(계정과목!$A$6:$A$58,$E176)=0,"미등록","정상"))</f>
        <v/>
      </c>
      <c r="P176" s="36" t="str">
        <f>IF($A176="","",ROUND(SUMIFS(전표!$F$7:$F$282,전표!$A$7:$A$282,$A176)-SUMIFS(전표!$G$7:$G$282,전표!$A$7:$A$282,$A176),0))</f>
        <v/>
      </c>
      <c r="Q176" s="10">
        <f t="shared" si="9"/>
        <v>0</v>
      </c>
      <c r="R176" t="str">
        <f t="shared" si="8"/>
        <v/>
      </c>
    </row>
    <row r="177" spans="1:18" ht="20" customHeight="1">
      <c r="A177" s="29"/>
      <c r="B177" s="31"/>
      <c r="C177" s="26"/>
      <c r="D177" s="33"/>
      <c r="E177" s="26"/>
      <c r="F177" s="27"/>
      <c r="G177" s="27"/>
      <c r="H177" s="27"/>
      <c r="I177" s="33"/>
      <c r="J177" s="33"/>
      <c r="K177" s="34" t="str">
        <f t="shared" si="7"/>
        <v/>
      </c>
      <c r="L177" s="35" t="str">
        <f>IF($E177="","",IFERROR(INDEX(계정과목!$B$6:$B$58,MATCH($E177,계정과목!$A$6:$A$58,0)),"미등록"))</f>
        <v/>
      </c>
      <c r="M177" s="34" t="str">
        <f>IF($E177="","",IFERROR(INDEX(계정과목!$C$6:$C$58,MATCH($E177,계정과목!$A$6:$A$58,0)),""))</f>
        <v/>
      </c>
      <c r="N177" s="34" t="str">
        <f>IF($E177="","",IFERROR(INDEX(계정과목!$D$6:$D$58,MATCH($E177,계정과목!$A$6:$A$58,0)),""))</f>
        <v/>
      </c>
      <c r="O177" s="34" t="str">
        <f>IF($E177="","",IF(COUNTIF(계정과목!$A$6:$A$58,$E177)=0,"미등록","정상"))</f>
        <v/>
      </c>
      <c r="P177" s="36" t="str">
        <f>IF($A177="","",ROUND(SUMIFS(전표!$F$7:$F$282,전표!$A$7:$A$282,$A177)-SUMIFS(전표!$G$7:$G$282,전표!$A$7:$A$282,$A177),0))</f>
        <v/>
      </c>
      <c r="Q177" s="10">
        <f t="shared" si="9"/>
        <v>0</v>
      </c>
      <c r="R177" t="str">
        <f t="shared" si="8"/>
        <v/>
      </c>
    </row>
    <row r="178" spans="1:18" ht="20" customHeight="1">
      <c r="A178" s="29"/>
      <c r="B178" s="31"/>
      <c r="C178" s="26"/>
      <c r="D178" s="33"/>
      <c r="E178" s="26"/>
      <c r="F178" s="27"/>
      <c r="G178" s="27"/>
      <c r="H178" s="27"/>
      <c r="I178" s="33"/>
      <c r="J178" s="33"/>
      <c r="K178" s="34" t="str">
        <f t="shared" si="7"/>
        <v/>
      </c>
      <c r="L178" s="35" t="str">
        <f>IF($E178="","",IFERROR(INDEX(계정과목!$B$6:$B$58,MATCH($E178,계정과목!$A$6:$A$58,0)),"미등록"))</f>
        <v/>
      </c>
      <c r="M178" s="34" t="str">
        <f>IF($E178="","",IFERROR(INDEX(계정과목!$C$6:$C$58,MATCH($E178,계정과목!$A$6:$A$58,0)),""))</f>
        <v/>
      </c>
      <c r="N178" s="34" t="str">
        <f>IF($E178="","",IFERROR(INDEX(계정과목!$D$6:$D$58,MATCH($E178,계정과목!$A$6:$A$58,0)),""))</f>
        <v/>
      </c>
      <c r="O178" s="34" t="str">
        <f>IF($E178="","",IF(COUNTIF(계정과목!$A$6:$A$58,$E178)=0,"미등록","정상"))</f>
        <v/>
      </c>
      <c r="P178" s="36" t="str">
        <f>IF($A178="","",ROUND(SUMIFS(전표!$F$7:$F$282,전표!$A$7:$A$282,$A178)-SUMIFS(전표!$G$7:$G$282,전표!$A$7:$A$282,$A178),0))</f>
        <v/>
      </c>
      <c r="Q178" s="10">
        <f t="shared" si="9"/>
        <v>0</v>
      </c>
      <c r="R178" t="str">
        <f t="shared" si="8"/>
        <v/>
      </c>
    </row>
    <row r="179" spans="1:18" ht="20" customHeight="1">
      <c r="A179" s="29"/>
      <c r="B179" s="31"/>
      <c r="C179" s="26"/>
      <c r="D179" s="33"/>
      <c r="E179" s="26"/>
      <c r="F179" s="27"/>
      <c r="G179" s="27"/>
      <c r="H179" s="27"/>
      <c r="I179" s="33"/>
      <c r="J179" s="33"/>
      <c r="K179" s="34" t="str">
        <f t="shared" si="7"/>
        <v/>
      </c>
      <c r="L179" s="35" t="str">
        <f>IF($E179="","",IFERROR(INDEX(계정과목!$B$6:$B$58,MATCH($E179,계정과목!$A$6:$A$58,0)),"미등록"))</f>
        <v/>
      </c>
      <c r="M179" s="34" t="str">
        <f>IF($E179="","",IFERROR(INDEX(계정과목!$C$6:$C$58,MATCH($E179,계정과목!$A$6:$A$58,0)),""))</f>
        <v/>
      </c>
      <c r="N179" s="34" t="str">
        <f>IF($E179="","",IFERROR(INDEX(계정과목!$D$6:$D$58,MATCH($E179,계정과목!$A$6:$A$58,0)),""))</f>
        <v/>
      </c>
      <c r="O179" s="34" t="str">
        <f>IF($E179="","",IF(COUNTIF(계정과목!$A$6:$A$58,$E179)=0,"미등록","정상"))</f>
        <v/>
      </c>
      <c r="P179" s="36" t="str">
        <f>IF($A179="","",ROUND(SUMIFS(전표!$F$7:$F$282,전표!$A$7:$A$282,$A179)-SUMIFS(전표!$G$7:$G$282,전표!$A$7:$A$282,$A179),0))</f>
        <v/>
      </c>
      <c r="Q179" s="10">
        <f t="shared" si="9"/>
        <v>0</v>
      </c>
      <c r="R179" t="str">
        <f t="shared" si="8"/>
        <v/>
      </c>
    </row>
    <row r="180" spans="1:18" ht="20" customHeight="1">
      <c r="A180" s="29"/>
      <c r="B180" s="31"/>
      <c r="C180" s="26"/>
      <c r="D180" s="33"/>
      <c r="E180" s="26"/>
      <c r="F180" s="27"/>
      <c r="G180" s="27"/>
      <c r="H180" s="27"/>
      <c r="I180" s="33"/>
      <c r="J180" s="33"/>
      <c r="K180" s="34" t="str">
        <f t="shared" si="7"/>
        <v/>
      </c>
      <c r="L180" s="35" t="str">
        <f>IF($E180="","",IFERROR(INDEX(계정과목!$B$6:$B$58,MATCH($E180,계정과목!$A$6:$A$58,0)),"미등록"))</f>
        <v/>
      </c>
      <c r="M180" s="34" t="str">
        <f>IF($E180="","",IFERROR(INDEX(계정과목!$C$6:$C$58,MATCH($E180,계정과목!$A$6:$A$58,0)),""))</f>
        <v/>
      </c>
      <c r="N180" s="34" t="str">
        <f>IF($E180="","",IFERROR(INDEX(계정과목!$D$6:$D$58,MATCH($E180,계정과목!$A$6:$A$58,0)),""))</f>
        <v/>
      </c>
      <c r="O180" s="34" t="str">
        <f>IF($E180="","",IF(COUNTIF(계정과목!$A$6:$A$58,$E180)=0,"미등록","정상"))</f>
        <v/>
      </c>
      <c r="P180" s="36" t="str">
        <f>IF($A180="","",ROUND(SUMIFS(전표!$F$7:$F$282,전표!$A$7:$A$282,$A180)-SUMIFS(전표!$G$7:$G$282,전표!$A$7:$A$282,$A180),0))</f>
        <v/>
      </c>
      <c r="Q180" s="10">
        <f t="shared" si="9"/>
        <v>0</v>
      </c>
      <c r="R180" t="str">
        <f t="shared" si="8"/>
        <v/>
      </c>
    </row>
    <row r="181" spans="1:18" ht="20" customHeight="1">
      <c r="A181" s="29"/>
      <c r="B181" s="31"/>
      <c r="C181" s="26"/>
      <c r="D181" s="33"/>
      <c r="E181" s="26"/>
      <c r="F181" s="27"/>
      <c r="G181" s="27"/>
      <c r="H181" s="27"/>
      <c r="I181" s="33"/>
      <c r="J181" s="33"/>
      <c r="K181" s="34" t="str">
        <f t="shared" si="7"/>
        <v/>
      </c>
      <c r="L181" s="35" t="str">
        <f>IF($E181="","",IFERROR(INDEX(계정과목!$B$6:$B$58,MATCH($E181,계정과목!$A$6:$A$58,0)),"미등록"))</f>
        <v/>
      </c>
      <c r="M181" s="34" t="str">
        <f>IF($E181="","",IFERROR(INDEX(계정과목!$C$6:$C$58,MATCH($E181,계정과목!$A$6:$A$58,0)),""))</f>
        <v/>
      </c>
      <c r="N181" s="34" t="str">
        <f>IF($E181="","",IFERROR(INDEX(계정과목!$D$6:$D$58,MATCH($E181,계정과목!$A$6:$A$58,0)),""))</f>
        <v/>
      </c>
      <c r="O181" s="34" t="str">
        <f>IF($E181="","",IF(COUNTIF(계정과목!$A$6:$A$58,$E181)=0,"미등록","정상"))</f>
        <v/>
      </c>
      <c r="P181" s="36" t="str">
        <f>IF($A181="","",ROUND(SUMIFS(전표!$F$7:$F$282,전표!$A$7:$A$282,$A181)-SUMIFS(전표!$G$7:$G$282,전표!$A$7:$A$282,$A181),0))</f>
        <v/>
      </c>
      <c r="Q181" s="10">
        <f t="shared" si="9"/>
        <v>0</v>
      </c>
      <c r="R181" t="str">
        <f t="shared" si="8"/>
        <v/>
      </c>
    </row>
    <row r="182" spans="1:18" ht="20" customHeight="1">
      <c r="A182" s="29"/>
      <c r="B182" s="31"/>
      <c r="C182" s="26"/>
      <c r="D182" s="33"/>
      <c r="E182" s="26"/>
      <c r="F182" s="27"/>
      <c r="G182" s="27"/>
      <c r="H182" s="27"/>
      <c r="I182" s="33"/>
      <c r="J182" s="33"/>
      <c r="K182" s="34" t="str">
        <f t="shared" si="7"/>
        <v/>
      </c>
      <c r="L182" s="35" t="str">
        <f>IF($E182="","",IFERROR(INDEX(계정과목!$B$6:$B$58,MATCH($E182,계정과목!$A$6:$A$58,0)),"미등록"))</f>
        <v/>
      </c>
      <c r="M182" s="34" t="str">
        <f>IF($E182="","",IFERROR(INDEX(계정과목!$C$6:$C$58,MATCH($E182,계정과목!$A$6:$A$58,0)),""))</f>
        <v/>
      </c>
      <c r="N182" s="34" t="str">
        <f>IF($E182="","",IFERROR(INDEX(계정과목!$D$6:$D$58,MATCH($E182,계정과목!$A$6:$A$58,0)),""))</f>
        <v/>
      </c>
      <c r="O182" s="34" t="str">
        <f>IF($E182="","",IF(COUNTIF(계정과목!$A$6:$A$58,$E182)=0,"미등록","정상"))</f>
        <v/>
      </c>
      <c r="P182" s="36" t="str">
        <f>IF($A182="","",ROUND(SUMIFS(전표!$F$7:$F$282,전표!$A$7:$A$282,$A182)-SUMIFS(전표!$G$7:$G$282,전표!$A$7:$A$282,$A182),0))</f>
        <v/>
      </c>
      <c r="Q182" s="10">
        <f t="shared" si="9"/>
        <v>0</v>
      </c>
      <c r="R182" t="str">
        <f t="shared" si="8"/>
        <v/>
      </c>
    </row>
    <row r="183" spans="1:18" ht="20" customHeight="1">
      <c r="A183" s="29"/>
      <c r="B183" s="31"/>
      <c r="C183" s="26"/>
      <c r="D183" s="33"/>
      <c r="E183" s="26"/>
      <c r="F183" s="27"/>
      <c r="G183" s="27"/>
      <c r="H183" s="27"/>
      <c r="I183" s="33"/>
      <c r="J183" s="33"/>
      <c r="K183" s="34" t="str">
        <f t="shared" si="7"/>
        <v/>
      </c>
      <c r="L183" s="35" t="str">
        <f>IF($E183="","",IFERROR(INDEX(계정과목!$B$6:$B$58,MATCH($E183,계정과목!$A$6:$A$58,0)),"미등록"))</f>
        <v/>
      </c>
      <c r="M183" s="34" t="str">
        <f>IF($E183="","",IFERROR(INDEX(계정과목!$C$6:$C$58,MATCH($E183,계정과목!$A$6:$A$58,0)),""))</f>
        <v/>
      </c>
      <c r="N183" s="34" t="str">
        <f>IF($E183="","",IFERROR(INDEX(계정과목!$D$6:$D$58,MATCH($E183,계정과목!$A$6:$A$58,0)),""))</f>
        <v/>
      </c>
      <c r="O183" s="34" t="str">
        <f>IF($E183="","",IF(COUNTIF(계정과목!$A$6:$A$58,$E183)=0,"미등록","정상"))</f>
        <v/>
      </c>
      <c r="P183" s="36" t="str">
        <f>IF($A183="","",ROUND(SUMIFS(전표!$F$7:$F$282,전표!$A$7:$A$282,$A183)-SUMIFS(전표!$G$7:$G$282,전표!$A$7:$A$282,$A183),0))</f>
        <v/>
      </c>
      <c r="Q183" s="10">
        <f t="shared" si="9"/>
        <v>0</v>
      </c>
      <c r="R183" t="str">
        <f t="shared" si="8"/>
        <v/>
      </c>
    </row>
    <row r="184" spans="1:18" ht="20" customHeight="1">
      <c r="A184" s="29"/>
      <c r="B184" s="31"/>
      <c r="C184" s="26"/>
      <c r="D184" s="33"/>
      <c r="E184" s="26"/>
      <c r="F184" s="27"/>
      <c r="G184" s="27"/>
      <c r="H184" s="27"/>
      <c r="I184" s="33"/>
      <c r="J184" s="33"/>
      <c r="K184" s="34" t="str">
        <f t="shared" si="7"/>
        <v/>
      </c>
      <c r="L184" s="35" t="str">
        <f>IF($E184="","",IFERROR(INDEX(계정과목!$B$6:$B$58,MATCH($E184,계정과목!$A$6:$A$58,0)),"미등록"))</f>
        <v/>
      </c>
      <c r="M184" s="34" t="str">
        <f>IF($E184="","",IFERROR(INDEX(계정과목!$C$6:$C$58,MATCH($E184,계정과목!$A$6:$A$58,0)),""))</f>
        <v/>
      </c>
      <c r="N184" s="34" t="str">
        <f>IF($E184="","",IFERROR(INDEX(계정과목!$D$6:$D$58,MATCH($E184,계정과목!$A$6:$A$58,0)),""))</f>
        <v/>
      </c>
      <c r="O184" s="34" t="str">
        <f>IF($E184="","",IF(COUNTIF(계정과목!$A$6:$A$58,$E184)=0,"미등록","정상"))</f>
        <v/>
      </c>
      <c r="P184" s="36" t="str">
        <f>IF($A184="","",ROUND(SUMIFS(전표!$F$7:$F$282,전표!$A$7:$A$282,$A184)-SUMIFS(전표!$G$7:$G$282,전표!$A$7:$A$282,$A184),0))</f>
        <v/>
      </c>
      <c r="Q184" s="10">
        <f t="shared" si="9"/>
        <v>0</v>
      </c>
      <c r="R184" t="str">
        <f t="shared" si="8"/>
        <v/>
      </c>
    </row>
    <row r="185" spans="1:18" ht="20" customHeight="1">
      <c r="A185" s="29"/>
      <c r="B185" s="31"/>
      <c r="C185" s="26"/>
      <c r="D185" s="33"/>
      <c r="E185" s="26"/>
      <c r="F185" s="27"/>
      <c r="G185" s="27"/>
      <c r="H185" s="27"/>
      <c r="I185" s="33"/>
      <c r="J185" s="33"/>
      <c r="K185" s="34" t="str">
        <f t="shared" si="7"/>
        <v/>
      </c>
      <c r="L185" s="35" t="str">
        <f>IF($E185="","",IFERROR(INDEX(계정과목!$B$6:$B$58,MATCH($E185,계정과목!$A$6:$A$58,0)),"미등록"))</f>
        <v/>
      </c>
      <c r="M185" s="34" t="str">
        <f>IF($E185="","",IFERROR(INDEX(계정과목!$C$6:$C$58,MATCH($E185,계정과목!$A$6:$A$58,0)),""))</f>
        <v/>
      </c>
      <c r="N185" s="34" t="str">
        <f>IF($E185="","",IFERROR(INDEX(계정과목!$D$6:$D$58,MATCH($E185,계정과목!$A$6:$A$58,0)),""))</f>
        <v/>
      </c>
      <c r="O185" s="34" t="str">
        <f>IF($E185="","",IF(COUNTIF(계정과목!$A$6:$A$58,$E185)=0,"미등록","정상"))</f>
        <v/>
      </c>
      <c r="P185" s="36" t="str">
        <f>IF($A185="","",ROUND(SUMIFS(전표!$F$7:$F$282,전표!$A$7:$A$282,$A185)-SUMIFS(전표!$G$7:$G$282,전표!$A$7:$A$282,$A185),0))</f>
        <v/>
      </c>
      <c r="Q185" s="10">
        <f t="shared" si="9"/>
        <v>0</v>
      </c>
      <c r="R185" t="str">
        <f t="shared" si="8"/>
        <v/>
      </c>
    </row>
    <row r="186" spans="1:18" ht="20" customHeight="1">
      <c r="A186" s="29"/>
      <c r="B186" s="31"/>
      <c r="C186" s="26"/>
      <c r="D186" s="33"/>
      <c r="E186" s="26"/>
      <c r="F186" s="27"/>
      <c r="G186" s="27"/>
      <c r="H186" s="27"/>
      <c r="I186" s="33"/>
      <c r="J186" s="33"/>
      <c r="K186" s="34" t="str">
        <f t="shared" si="7"/>
        <v/>
      </c>
      <c r="L186" s="35" t="str">
        <f>IF($E186="","",IFERROR(INDEX(계정과목!$B$6:$B$58,MATCH($E186,계정과목!$A$6:$A$58,0)),"미등록"))</f>
        <v/>
      </c>
      <c r="M186" s="34" t="str">
        <f>IF($E186="","",IFERROR(INDEX(계정과목!$C$6:$C$58,MATCH($E186,계정과목!$A$6:$A$58,0)),""))</f>
        <v/>
      </c>
      <c r="N186" s="34" t="str">
        <f>IF($E186="","",IFERROR(INDEX(계정과목!$D$6:$D$58,MATCH($E186,계정과목!$A$6:$A$58,0)),""))</f>
        <v/>
      </c>
      <c r="O186" s="34" t="str">
        <f>IF($E186="","",IF(COUNTIF(계정과목!$A$6:$A$58,$E186)=0,"미등록","정상"))</f>
        <v/>
      </c>
      <c r="P186" s="36" t="str">
        <f>IF($A186="","",ROUND(SUMIFS(전표!$F$7:$F$282,전표!$A$7:$A$282,$A186)-SUMIFS(전표!$G$7:$G$282,전표!$A$7:$A$282,$A186),0))</f>
        <v/>
      </c>
      <c r="Q186" s="10">
        <f t="shared" si="9"/>
        <v>0</v>
      </c>
      <c r="R186" t="str">
        <f t="shared" si="8"/>
        <v/>
      </c>
    </row>
    <row r="187" spans="1:18" ht="20" customHeight="1">
      <c r="A187" s="29"/>
      <c r="B187" s="31"/>
      <c r="C187" s="26"/>
      <c r="D187" s="33"/>
      <c r="E187" s="26"/>
      <c r="F187" s="27"/>
      <c r="G187" s="27"/>
      <c r="H187" s="27"/>
      <c r="I187" s="33"/>
      <c r="J187" s="33"/>
      <c r="K187" s="34" t="str">
        <f t="shared" si="7"/>
        <v/>
      </c>
      <c r="L187" s="35" t="str">
        <f>IF($E187="","",IFERROR(INDEX(계정과목!$B$6:$B$58,MATCH($E187,계정과목!$A$6:$A$58,0)),"미등록"))</f>
        <v/>
      </c>
      <c r="M187" s="34" t="str">
        <f>IF($E187="","",IFERROR(INDEX(계정과목!$C$6:$C$58,MATCH($E187,계정과목!$A$6:$A$58,0)),""))</f>
        <v/>
      </c>
      <c r="N187" s="34" t="str">
        <f>IF($E187="","",IFERROR(INDEX(계정과목!$D$6:$D$58,MATCH($E187,계정과목!$A$6:$A$58,0)),""))</f>
        <v/>
      </c>
      <c r="O187" s="34" t="str">
        <f>IF($E187="","",IF(COUNTIF(계정과목!$A$6:$A$58,$E187)=0,"미등록","정상"))</f>
        <v/>
      </c>
      <c r="P187" s="36" t="str">
        <f>IF($A187="","",ROUND(SUMIFS(전표!$F$7:$F$282,전표!$A$7:$A$282,$A187)-SUMIFS(전표!$G$7:$G$282,전표!$A$7:$A$282,$A187),0))</f>
        <v/>
      </c>
      <c r="Q187" s="10">
        <f t="shared" si="9"/>
        <v>0</v>
      </c>
      <c r="R187" t="str">
        <f t="shared" si="8"/>
        <v/>
      </c>
    </row>
    <row r="188" spans="1:18" ht="20" customHeight="1">
      <c r="A188" s="29"/>
      <c r="B188" s="31"/>
      <c r="C188" s="26"/>
      <c r="D188" s="33"/>
      <c r="E188" s="26"/>
      <c r="F188" s="27"/>
      <c r="G188" s="27"/>
      <c r="H188" s="27"/>
      <c r="I188" s="33"/>
      <c r="J188" s="33"/>
      <c r="K188" s="34" t="str">
        <f t="shared" si="7"/>
        <v/>
      </c>
      <c r="L188" s="35" t="str">
        <f>IF($E188="","",IFERROR(INDEX(계정과목!$B$6:$B$58,MATCH($E188,계정과목!$A$6:$A$58,0)),"미등록"))</f>
        <v/>
      </c>
      <c r="M188" s="34" t="str">
        <f>IF($E188="","",IFERROR(INDEX(계정과목!$C$6:$C$58,MATCH($E188,계정과목!$A$6:$A$58,0)),""))</f>
        <v/>
      </c>
      <c r="N188" s="34" t="str">
        <f>IF($E188="","",IFERROR(INDEX(계정과목!$D$6:$D$58,MATCH($E188,계정과목!$A$6:$A$58,0)),""))</f>
        <v/>
      </c>
      <c r="O188" s="34" t="str">
        <f>IF($E188="","",IF(COUNTIF(계정과목!$A$6:$A$58,$E188)=0,"미등록","정상"))</f>
        <v/>
      </c>
      <c r="P188" s="36" t="str">
        <f>IF($A188="","",ROUND(SUMIFS(전표!$F$7:$F$282,전표!$A$7:$A$282,$A188)-SUMIFS(전표!$G$7:$G$282,전표!$A$7:$A$282,$A188),0))</f>
        <v/>
      </c>
      <c r="Q188" s="10">
        <f t="shared" si="9"/>
        <v>0</v>
      </c>
      <c r="R188" t="str">
        <f t="shared" si="8"/>
        <v/>
      </c>
    </row>
    <row r="189" spans="1:18" ht="20" customHeight="1">
      <c r="A189" s="29"/>
      <c r="B189" s="31"/>
      <c r="C189" s="26"/>
      <c r="D189" s="33"/>
      <c r="E189" s="26"/>
      <c r="F189" s="27"/>
      <c r="G189" s="27"/>
      <c r="H189" s="27"/>
      <c r="I189" s="33"/>
      <c r="J189" s="33"/>
      <c r="K189" s="34" t="str">
        <f t="shared" si="7"/>
        <v/>
      </c>
      <c r="L189" s="35" t="str">
        <f>IF($E189="","",IFERROR(INDEX(계정과목!$B$6:$B$58,MATCH($E189,계정과목!$A$6:$A$58,0)),"미등록"))</f>
        <v/>
      </c>
      <c r="M189" s="34" t="str">
        <f>IF($E189="","",IFERROR(INDEX(계정과목!$C$6:$C$58,MATCH($E189,계정과목!$A$6:$A$58,0)),""))</f>
        <v/>
      </c>
      <c r="N189" s="34" t="str">
        <f>IF($E189="","",IFERROR(INDEX(계정과목!$D$6:$D$58,MATCH($E189,계정과목!$A$6:$A$58,0)),""))</f>
        <v/>
      </c>
      <c r="O189" s="34" t="str">
        <f>IF($E189="","",IF(COUNTIF(계정과목!$A$6:$A$58,$E189)=0,"미등록","정상"))</f>
        <v/>
      </c>
      <c r="P189" s="36" t="str">
        <f>IF($A189="","",ROUND(SUMIFS(전표!$F$7:$F$282,전표!$A$7:$A$282,$A189)-SUMIFS(전표!$G$7:$G$282,전표!$A$7:$A$282,$A189),0))</f>
        <v/>
      </c>
      <c r="Q189" s="10">
        <f t="shared" si="9"/>
        <v>0</v>
      </c>
      <c r="R189" t="str">
        <f t="shared" si="8"/>
        <v/>
      </c>
    </row>
    <row r="190" spans="1:18" ht="20" customHeight="1">
      <c r="A190" s="29"/>
      <c r="B190" s="31"/>
      <c r="C190" s="26"/>
      <c r="D190" s="33"/>
      <c r="E190" s="26"/>
      <c r="F190" s="27"/>
      <c r="G190" s="27"/>
      <c r="H190" s="27"/>
      <c r="I190" s="33"/>
      <c r="J190" s="33"/>
      <c r="K190" s="34" t="str">
        <f t="shared" si="7"/>
        <v/>
      </c>
      <c r="L190" s="35" t="str">
        <f>IF($E190="","",IFERROR(INDEX(계정과목!$B$6:$B$58,MATCH($E190,계정과목!$A$6:$A$58,0)),"미등록"))</f>
        <v/>
      </c>
      <c r="M190" s="34" t="str">
        <f>IF($E190="","",IFERROR(INDEX(계정과목!$C$6:$C$58,MATCH($E190,계정과목!$A$6:$A$58,0)),""))</f>
        <v/>
      </c>
      <c r="N190" s="34" t="str">
        <f>IF($E190="","",IFERROR(INDEX(계정과목!$D$6:$D$58,MATCH($E190,계정과목!$A$6:$A$58,0)),""))</f>
        <v/>
      </c>
      <c r="O190" s="34" t="str">
        <f>IF($E190="","",IF(COUNTIF(계정과목!$A$6:$A$58,$E190)=0,"미등록","정상"))</f>
        <v/>
      </c>
      <c r="P190" s="36" t="str">
        <f>IF($A190="","",ROUND(SUMIFS(전표!$F$7:$F$282,전표!$A$7:$A$282,$A190)-SUMIFS(전표!$G$7:$G$282,전표!$A$7:$A$282,$A190),0))</f>
        <v/>
      </c>
      <c r="Q190" s="10">
        <f t="shared" si="9"/>
        <v>0</v>
      </c>
      <c r="R190" t="str">
        <f t="shared" si="8"/>
        <v/>
      </c>
    </row>
    <row r="191" spans="1:18" ht="20" customHeight="1">
      <c r="A191" s="29"/>
      <c r="B191" s="31"/>
      <c r="C191" s="26"/>
      <c r="D191" s="33"/>
      <c r="E191" s="26"/>
      <c r="F191" s="27"/>
      <c r="G191" s="27"/>
      <c r="H191" s="27"/>
      <c r="I191" s="33"/>
      <c r="J191" s="33"/>
      <c r="K191" s="34" t="str">
        <f t="shared" si="7"/>
        <v/>
      </c>
      <c r="L191" s="35" t="str">
        <f>IF($E191="","",IFERROR(INDEX(계정과목!$B$6:$B$58,MATCH($E191,계정과목!$A$6:$A$58,0)),"미등록"))</f>
        <v/>
      </c>
      <c r="M191" s="34" t="str">
        <f>IF($E191="","",IFERROR(INDEX(계정과목!$C$6:$C$58,MATCH($E191,계정과목!$A$6:$A$58,0)),""))</f>
        <v/>
      </c>
      <c r="N191" s="34" t="str">
        <f>IF($E191="","",IFERROR(INDEX(계정과목!$D$6:$D$58,MATCH($E191,계정과목!$A$6:$A$58,0)),""))</f>
        <v/>
      </c>
      <c r="O191" s="34" t="str">
        <f>IF($E191="","",IF(COUNTIF(계정과목!$A$6:$A$58,$E191)=0,"미등록","정상"))</f>
        <v/>
      </c>
      <c r="P191" s="36" t="str">
        <f>IF($A191="","",ROUND(SUMIFS(전표!$F$7:$F$282,전표!$A$7:$A$282,$A191)-SUMIFS(전표!$G$7:$G$282,전표!$A$7:$A$282,$A191),0))</f>
        <v/>
      </c>
      <c r="Q191" s="10">
        <f t="shared" si="9"/>
        <v>0</v>
      </c>
      <c r="R191" t="str">
        <f t="shared" si="8"/>
        <v/>
      </c>
    </row>
    <row r="192" spans="1:18" ht="20" customHeight="1">
      <c r="A192" s="29"/>
      <c r="B192" s="31"/>
      <c r="C192" s="26"/>
      <c r="D192" s="33"/>
      <c r="E192" s="26"/>
      <c r="F192" s="27"/>
      <c r="G192" s="27"/>
      <c r="H192" s="27"/>
      <c r="I192" s="33"/>
      <c r="J192" s="33"/>
      <c r="K192" s="34" t="str">
        <f t="shared" si="7"/>
        <v/>
      </c>
      <c r="L192" s="35" t="str">
        <f>IF($E192="","",IFERROR(INDEX(계정과목!$B$6:$B$58,MATCH($E192,계정과목!$A$6:$A$58,0)),"미등록"))</f>
        <v/>
      </c>
      <c r="M192" s="34" t="str">
        <f>IF($E192="","",IFERROR(INDEX(계정과목!$C$6:$C$58,MATCH($E192,계정과목!$A$6:$A$58,0)),""))</f>
        <v/>
      </c>
      <c r="N192" s="34" t="str">
        <f>IF($E192="","",IFERROR(INDEX(계정과목!$D$6:$D$58,MATCH($E192,계정과목!$A$6:$A$58,0)),""))</f>
        <v/>
      </c>
      <c r="O192" s="34" t="str">
        <f>IF($E192="","",IF(COUNTIF(계정과목!$A$6:$A$58,$E192)=0,"미등록","정상"))</f>
        <v/>
      </c>
      <c r="P192" s="36" t="str">
        <f>IF($A192="","",ROUND(SUMIFS(전표!$F$7:$F$282,전표!$A$7:$A$282,$A192)-SUMIFS(전표!$G$7:$G$282,전표!$A$7:$A$282,$A192),0))</f>
        <v/>
      </c>
      <c r="Q192" s="10">
        <f t="shared" si="9"/>
        <v>0</v>
      </c>
      <c r="R192" t="str">
        <f t="shared" si="8"/>
        <v/>
      </c>
    </row>
    <row r="193" spans="1:18" ht="20" customHeight="1">
      <c r="A193" s="29"/>
      <c r="B193" s="31"/>
      <c r="C193" s="26"/>
      <c r="D193" s="33"/>
      <c r="E193" s="26"/>
      <c r="F193" s="27"/>
      <c r="G193" s="27"/>
      <c r="H193" s="27"/>
      <c r="I193" s="33"/>
      <c r="J193" s="33"/>
      <c r="K193" s="34" t="str">
        <f t="shared" si="7"/>
        <v/>
      </c>
      <c r="L193" s="35" t="str">
        <f>IF($E193="","",IFERROR(INDEX(계정과목!$B$6:$B$58,MATCH($E193,계정과목!$A$6:$A$58,0)),"미등록"))</f>
        <v/>
      </c>
      <c r="M193" s="34" t="str">
        <f>IF($E193="","",IFERROR(INDEX(계정과목!$C$6:$C$58,MATCH($E193,계정과목!$A$6:$A$58,0)),""))</f>
        <v/>
      </c>
      <c r="N193" s="34" t="str">
        <f>IF($E193="","",IFERROR(INDEX(계정과목!$D$6:$D$58,MATCH($E193,계정과목!$A$6:$A$58,0)),""))</f>
        <v/>
      </c>
      <c r="O193" s="34" t="str">
        <f>IF($E193="","",IF(COUNTIF(계정과목!$A$6:$A$58,$E193)=0,"미등록","정상"))</f>
        <v/>
      </c>
      <c r="P193" s="36" t="str">
        <f>IF($A193="","",ROUND(SUMIFS(전표!$F$7:$F$282,전표!$A$7:$A$282,$A193)-SUMIFS(전표!$G$7:$G$282,전표!$A$7:$A$282,$A193),0))</f>
        <v/>
      </c>
      <c r="Q193" s="10">
        <f t="shared" si="9"/>
        <v>0</v>
      </c>
      <c r="R193" t="str">
        <f t="shared" si="8"/>
        <v/>
      </c>
    </row>
    <row r="194" spans="1:18" ht="20" customHeight="1">
      <c r="A194" s="29"/>
      <c r="B194" s="31"/>
      <c r="C194" s="26"/>
      <c r="D194" s="33"/>
      <c r="E194" s="26"/>
      <c r="F194" s="27"/>
      <c r="G194" s="27"/>
      <c r="H194" s="27"/>
      <c r="I194" s="33"/>
      <c r="J194" s="33"/>
      <c r="K194" s="34" t="str">
        <f t="shared" si="7"/>
        <v/>
      </c>
      <c r="L194" s="35" t="str">
        <f>IF($E194="","",IFERROR(INDEX(계정과목!$B$6:$B$58,MATCH($E194,계정과목!$A$6:$A$58,0)),"미등록"))</f>
        <v/>
      </c>
      <c r="M194" s="34" t="str">
        <f>IF($E194="","",IFERROR(INDEX(계정과목!$C$6:$C$58,MATCH($E194,계정과목!$A$6:$A$58,0)),""))</f>
        <v/>
      </c>
      <c r="N194" s="34" t="str">
        <f>IF($E194="","",IFERROR(INDEX(계정과목!$D$6:$D$58,MATCH($E194,계정과목!$A$6:$A$58,0)),""))</f>
        <v/>
      </c>
      <c r="O194" s="34" t="str">
        <f>IF($E194="","",IF(COUNTIF(계정과목!$A$6:$A$58,$E194)=0,"미등록","정상"))</f>
        <v/>
      </c>
      <c r="P194" s="36" t="str">
        <f>IF($A194="","",ROUND(SUMIFS(전표!$F$7:$F$282,전표!$A$7:$A$282,$A194)-SUMIFS(전표!$G$7:$G$282,전표!$A$7:$A$282,$A194),0))</f>
        <v/>
      </c>
      <c r="Q194" s="10">
        <f t="shared" si="9"/>
        <v>0</v>
      </c>
      <c r="R194" t="str">
        <f t="shared" si="8"/>
        <v/>
      </c>
    </row>
    <row r="195" spans="1:18" ht="20" customHeight="1">
      <c r="A195" s="29"/>
      <c r="B195" s="31"/>
      <c r="C195" s="26"/>
      <c r="D195" s="33"/>
      <c r="E195" s="26"/>
      <c r="F195" s="27"/>
      <c r="G195" s="27"/>
      <c r="H195" s="27"/>
      <c r="I195" s="33"/>
      <c r="J195" s="33"/>
      <c r="K195" s="34" t="str">
        <f t="shared" si="7"/>
        <v/>
      </c>
      <c r="L195" s="35" t="str">
        <f>IF($E195="","",IFERROR(INDEX(계정과목!$B$6:$B$58,MATCH($E195,계정과목!$A$6:$A$58,0)),"미등록"))</f>
        <v/>
      </c>
      <c r="M195" s="34" t="str">
        <f>IF($E195="","",IFERROR(INDEX(계정과목!$C$6:$C$58,MATCH($E195,계정과목!$A$6:$A$58,0)),""))</f>
        <v/>
      </c>
      <c r="N195" s="34" t="str">
        <f>IF($E195="","",IFERROR(INDEX(계정과목!$D$6:$D$58,MATCH($E195,계정과목!$A$6:$A$58,0)),""))</f>
        <v/>
      </c>
      <c r="O195" s="34" t="str">
        <f>IF($E195="","",IF(COUNTIF(계정과목!$A$6:$A$58,$E195)=0,"미등록","정상"))</f>
        <v/>
      </c>
      <c r="P195" s="36" t="str">
        <f>IF($A195="","",ROUND(SUMIFS(전표!$F$7:$F$282,전표!$A$7:$A$282,$A195)-SUMIFS(전표!$G$7:$G$282,전표!$A$7:$A$282,$A195),0))</f>
        <v/>
      </c>
      <c r="Q195" s="10">
        <f t="shared" si="9"/>
        <v>0</v>
      </c>
      <c r="R195" t="str">
        <f t="shared" si="8"/>
        <v/>
      </c>
    </row>
    <row r="196" spans="1:18" ht="20" customHeight="1">
      <c r="A196" s="29"/>
      <c r="B196" s="31"/>
      <c r="C196" s="26"/>
      <c r="D196" s="33"/>
      <c r="E196" s="26"/>
      <c r="F196" s="27"/>
      <c r="G196" s="27"/>
      <c r="H196" s="27"/>
      <c r="I196" s="33"/>
      <c r="J196" s="33"/>
      <c r="K196" s="34" t="str">
        <f t="shared" si="7"/>
        <v/>
      </c>
      <c r="L196" s="35" t="str">
        <f>IF($E196="","",IFERROR(INDEX(계정과목!$B$6:$B$58,MATCH($E196,계정과목!$A$6:$A$58,0)),"미등록"))</f>
        <v/>
      </c>
      <c r="M196" s="34" t="str">
        <f>IF($E196="","",IFERROR(INDEX(계정과목!$C$6:$C$58,MATCH($E196,계정과목!$A$6:$A$58,0)),""))</f>
        <v/>
      </c>
      <c r="N196" s="34" t="str">
        <f>IF($E196="","",IFERROR(INDEX(계정과목!$D$6:$D$58,MATCH($E196,계정과목!$A$6:$A$58,0)),""))</f>
        <v/>
      </c>
      <c r="O196" s="34" t="str">
        <f>IF($E196="","",IF(COUNTIF(계정과목!$A$6:$A$58,$E196)=0,"미등록","정상"))</f>
        <v/>
      </c>
      <c r="P196" s="36" t="str">
        <f>IF($A196="","",ROUND(SUMIFS(전표!$F$7:$F$282,전표!$A$7:$A$282,$A196)-SUMIFS(전표!$G$7:$G$282,전표!$A$7:$A$282,$A196),0))</f>
        <v/>
      </c>
      <c r="Q196" s="10">
        <f t="shared" si="9"/>
        <v>0</v>
      </c>
      <c r="R196" t="str">
        <f t="shared" si="8"/>
        <v/>
      </c>
    </row>
    <row r="197" spans="1:18" ht="20" customHeight="1">
      <c r="A197" s="29"/>
      <c r="B197" s="31"/>
      <c r="C197" s="26"/>
      <c r="D197" s="33"/>
      <c r="E197" s="26"/>
      <c r="F197" s="27"/>
      <c r="G197" s="27"/>
      <c r="H197" s="27"/>
      <c r="I197" s="33"/>
      <c r="J197" s="33"/>
      <c r="K197" s="34" t="str">
        <f t="shared" si="7"/>
        <v/>
      </c>
      <c r="L197" s="35" t="str">
        <f>IF($E197="","",IFERROR(INDEX(계정과목!$B$6:$B$58,MATCH($E197,계정과목!$A$6:$A$58,0)),"미등록"))</f>
        <v/>
      </c>
      <c r="M197" s="34" t="str">
        <f>IF($E197="","",IFERROR(INDEX(계정과목!$C$6:$C$58,MATCH($E197,계정과목!$A$6:$A$58,0)),""))</f>
        <v/>
      </c>
      <c r="N197" s="34" t="str">
        <f>IF($E197="","",IFERROR(INDEX(계정과목!$D$6:$D$58,MATCH($E197,계정과목!$A$6:$A$58,0)),""))</f>
        <v/>
      </c>
      <c r="O197" s="34" t="str">
        <f>IF($E197="","",IF(COUNTIF(계정과목!$A$6:$A$58,$E197)=0,"미등록","정상"))</f>
        <v/>
      </c>
      <c r="P197" s="36" t="str">
        <f>IF($A197="","",ROUND(SUMIFS(전표!$F$7:$F$282,전표!$A$7:$A$282,$A197)-SUMIFS(전표!$G$7:$G$282,전표!$A$7:$A$282,$A197),0))</f>
        <v/>
      </c>
      <c r="Q197" s="10">
        <f t="shared" si="9"/>
        <v>0</v>
      </c>
      <c r="R197" t="str">
        <f t="shared" si="8"/>
        <v/>
      </c>
    </row>
    <row r="198" spans="1:18" ht="20" customHeight="1">
      <c r="A198" s="29"/>
      <c r="B198" s="31"/>
      <c r="C198" s="26"/>
      <c r="D198" s="33"/>
      <c r="E198" s="26"/>
      <c r="F198" s="27"/>
      <c r="G198" s="27"/>
      <c r="H198" s="27"/>
      <c r="I198" s="33"/>
      <c r="J198" s="33"/>
      <c r="K198" s="34" t="str">
        <f t="shared" si="7"/>
        <v/>
      </c>
      <c r="L198" s="35" t="str">
        <f>IF($E198="","",IFERROR(INDEX(계정과목!$B$6:$B$58,MATCH($E198,계정과목!$A$6:$A$58,0)),"미등록"))</f>
        <v/>
      </c>
      <c r="M198" s="34" t="str">
        <f>IF($E198="","",IFERROR(INDEX(계정과목!$C$6:$C$58,MATCH($E198,계정과목!$A$6:$A$58,0)),""))</f>
        <v/>
      </c>
      <c r="N198" s="34" t="str">
        <f>IF($E198="","",IFERROR(INDEX(계정과목!$D$6:$D$58,MATCH($E198,계정과목!$A$6:$A$58,0)),""))</f>
        <v/>
      </c>
      <c r="O198" s="34" t="str">
        <f>IF($E198="","",IF(COUNTIF(계정과목!$A$6:$A$58,$E198)=0,"미등록","정상"))</f>
        <v/>
      </c>
      <c r="P198" s="36" t="str">
        <f>IF($A198="","",ROUND(SUMIFS(전표!$F$7:$F$282,전표!$A$7:$A$282,$A198)-SUMIFS(전표!$G$7:$G$282,전표!$A$7:$A$282,$A198),0))</f>
        <v/>
      </c>
      <c r="Q198" s="10">
        <f t="shared" si="9"/>
        <v>0</v>
      </c>
      <c r="R198" t="str">
        <f t="shared" si="8"/>
        <v/>
      </c>
    </row>
    <row r="199" spans="1:18" ht="20" customHeight="1">
      <c r="A199" s="29"/>
      <c r="B199" s="31"/>
      <c r="C199" s="26"/>
      <c r="D199" s="33"/>
      <c r="E199" s="26"/>
      <c r="F199" s="27"/>
      <c r="G199" s="27"/>
      <c r="H199" s="27"/>
      <c r="I199" s="33"/>
      <c r="J199" s="33"/>
      <c r="K199" s="34" t="str">
        <f t="shared" ref="K199:K262" si="10">IF($B199="","",TEXT($B199,"yyyy-mm"))</f>
        <v/>
      </c>
      <c r="L199" s="35" t="str">
        <f>IF($E199="","",IFERROR(INDEX(계정과목!$B$6:$B$58,MATCH($E199,계정과목!$A$6:$A$58,0)),"미등록"))</f>
        <v/>
      </c>
      <c r="M199" s="34" t="str">
        <f>IF($E199="","",IFERROR(INDEX(계정과목!$C$6:$C$58,MATCH($E199,계정과목!$A$6:$A$58,0)),""))</f>
        <v/>
      </c>
      <c r="N199" s="34" t="str">
        <f>IF($E199="","",IFERROR(INDEX(계정과목!$D$6:$D$58,MATCH($E199,계정과목!$A$6:$A$58,0)),""))</f>
        <v/>
      </c>
      <c r="O199" s="34" t="str">
        <f>IF($E199="","",IF(COUNTIF(계정과목!$A$6:$A$58,$E199)=0,"미등록","정상"))</f>
        <v/>
      </c>
      <c r="P199" s="36" t="str">
        <f>IF($A199="","",ROUND(SUMIFS(전표!$F$7:$F$282,전표!$A$7:$A$282,$A199)-SUMIFS(전표!$G$7:$G$282,전표!$A$7:$A$282,$A199),0))</f>
        <v/>
      </c>
      <c r="Q199" s="10">
        <f t="shared" si="9"/>
        <v>0</v>
      </c>
      <c r="R199" t="str">
        <f t="shared" si="8"/>
        <v/>
      </c>
    </row>
    <row r="200" spans="1:18" ht="20" customHeight="1">
      <c r="A200" s="29"/>
      <c r="B200" s="31"/>
      <c r="C200" s="26"/>
      <c r="D200" s="33"/>
      <c r="E200" s="26"/>
      <c r="F200" s="27"/>
      <c r="G200" s="27"/>
      <c r="H200" s="27"/>
      <c r="I200" s="33"/>
      <c r="J200" s="33"/>
      <c r="K200" s="34" t="str">
        <f t="shared" si="10"/>
        <v/>
      </c>
      <c r="L200" s="35" t="str">
        <f>IF($E200="","",IFERROR(INDEX(계정과목!$B$6:$B$58,MATCH($E200,계정과목!$A$6:$A$58,0)),"미등록"))</f>
        <v/>
      </c>
      <c r="M200" s="34" t="str">
        <f>IF($E200="","",IFERROR(INDEX(계정과목!$C$6:$C$58,MATCH($E200,계정과목!$A$6:$A$58,0)),""))</f>
        <v/>
      </c>
      <c r="N200" s="34" t="str">
        <f>IF($E200="","",IFERROR(INDEX(계정과목!$D$6:$D$58,MATCH($E200,계정과목!$A$6:$A$58,0)),""))</f>
        <v/>
      </c>
      <c r="O200" s="34" t="str">
        <f>IF($E200="","",IF(COUNTIF(계정과목!$A$6:$A$58,$E200)=0,"미등록","정상"))</f>
        <v/>
      </c>
      <c r="P200" s="36" t="str">
        <f>IF($A200="","",ROUND(SUMIFS(전표!$F$7:$F$282,전표!$A$7:$A$282,$A200)-SUMIFS(전표!$G$7:$G$282,전표!$A$7:$A$282,$A200),0))</f>
        <v/>
      </c>
      <c r="Q200" s="10">
        <f t="shared" si="9"/>
        <v>0</v>
      </c>
      <c r="R200" t="str">
        <f t="shared" ref="R200:R263" si="11">IF($A200="","",IF($A200=$A199,N($R199),1-N($R199)))</f>
        <v/>
      </c>
    </row>
    <row r="201" spans="1:18" ht="20" customHeight="1">
      <c r="A201" s="29"/>
      <c r="B201" s="31"/>
      <c r="C201" s="26"/>
      <c r="D201" s="33"/>
      <c r="E201" s="26"/>
      <c r="F201" s="27"/>
      <c r="G201" s="27"/>
      <c r="H201" s="27"/>
      <c r="I201" s="33"/>
      <c r="J201" s="33"/>
      <c r="K201" s="34" t="str">
        <f t="shared" si="10"/>
        <v/>
      </c>
      <c r="L201" s="35" t="str">
        <f>IF($E201="","",IFERROR(INDEX(계정과목!$B$6:$B$58,MATCH($E201,계정과목!$A$6:$A$58,0)),"미등록"))</f>
        <v/>
      </c>
      <c r="M201" s="34" t="str">
        <f>IF($E201="","",IFERROR(INDEX(계정과목!$C$6:$C$58,MATCH($E201,계정과목!$A$6:$A$58,0)),""))</f>
        <v/>
      </c>
      <c r="N201" s="34" t="str">
        <f>IF($E201="","",IFERROR(INDEX(계정과목!$D$6:$D$58,MATCH($E201,계정과목!$A$6:$A$58,0)),""))</f>
        <v/>
      </c>
      <c r="O201" s="34" t="str">
        <f>IF($E201="","",IF(COUNTIF(계정과목!$A$6:$A$58,$E201)=0,"미등록","정상"))</f>
        <v/>
      </c>
      <c r="P201" s="36" t="str">
        <f>IF($A201="","",ROUND(SUMIFS(전표!$F$7:$F$282,전표!$A$7:$A$282,$A201)-SUMIFS(전표!$G$7:$G$282,전표!$A$7:$A$282,$A201),0))</f>
        <v/>
      </c>
      <c r="Q201" s="10">
        <f t="shared" si="9"/>
        <v>0</v>
      </c>
      <c r="R201" t="str">
        <f t="shared" si="11"/>
        <v/>
      </c>
    </row>
    <row r="202" spans="1:18" ht="20" customHeight="1">
      <c r="A202" s="29"/>
      <c r="B202" s="31"/>
      <c r="C202" s="26"/>
      <c r="D202" s="33"/>
      <c r="E202" s="26"/>
      <c r="F202" s="27"/>
      <c r="G202" s="27"/>
      <c r="H202" s="27"/>
      <c r="I202" s="33"/>
      <c r="J202" s="33"/>
      <c r="K202" s="34" t="str">
        <f t="shared" si="10"/>
        <v/>
      </c>
      <c r="L202" s="35" t="str">
        <f>IF($E202="","",IFERROR(INDEX(계정과목!$B$6:$B$58,MATCH($E202,계정과목!$A$6:$A$58,0)),"미등록"))</f>
        <v/>
      </c>
      <c r="M202" s="34" t="str">
        <f>IF($E202="","",IFERROR(INDEX(계정과목!$C$6:$C$58,MATCH($E202,계정과목!$A$6:$A$58,0)),""))</f>
        <v/>
      </c>
      <c r="N202" s="34" t="str">
        <f>IF($E202="","",IFERROR(INDEX(계정과목!$D$6:$D$58,MATCH($E202,계정과목!$A$6:$A$58,0)),""))</f>
        <v/>
      </c>
      <c r="O202" s="34" t="str">
        <f>IF($E202="","",IF(COUNTIF(계정과목!$A$6:$A$58,$E202)=0,"미등록","정상"))</f>
        <v/>
      </c>
      <c r="P202" s="36" t="str">
        <f>IF($A202="","",ROUND(SUMIFS(전표!$F$7:$F$282,전표!$A$7:$A$282,$A202)-SUMIFS(전표!$G$7:$G$282,전표!$A$7:$A$282,$A202),0))</f>
        <v/>
      </c>
      <c r="Q202" s="10">
        <f t="shared" si="9"/>
        <v>0</v>
      </c>
      <c r="R202" t="str">
        <f t="shared" si="11"/>
        <v/>
      </c>
    </row>
    <row r="203" spans="1:18" ht="20" customHeight="1">
      <c r="A203" s="29"/>
      <c r="B203" s="31"/>
      <c r="C203" s="26"/>
      <c r="D203" s="33"/>
      <c r="E203" s="26"/>
      <c r="F203" s="27"/>
      <c r="G203" s="27"/>
      <c r="H203" s="27"/>
      <c r="I203" s="33"/>
      <c r="J203" s="33"/>
      <c r="K203" s="34" t="str">
        <f t="shared" si="10"/>
        <v/>
      </c>
      <c r="L203" s="35" t="str">
        <f>IF($E203="","",IFERROR(INDEX(계정과목!$B$6:$B$58,MATCH($E203,계정과목!$A$6:$A$58,0)),"미등록"))</f>
        <v/>
      </c>
      <c r="M203" s="34" t="str">
        <f>IF($E203="","",IFERROR(INDEX(계정과목!$C$6:$C$58,MATCH($E203,계정과목!$A$6:$A$58,0)),""))</f>
        <v/>
      </c>
      <c r="N203" s="34" t="str">
        <f>IF($E203="","",IFERROR(INDEX(계정과목!$D$6:$D$58,MATCH($E203,계정과목!$A$6:$A$58,0)),""))</f>
        <v/>
      </c>
      <c r="O203" s="34" t="str">
        <f>IF($E203="","",IF(COUNTIF(계정과목!$A$6:$A$58,$E203)=0,"미등록","정상"))</f>
        <v/>
      </c>
      <c r="P203" s="36" t="str">
        <f>IF($A203="","",ROUND(SUMIFS(전표!$F$7:$F$282,전표!$A$7:$A$282,$A203)-SUMIFS(전표!$G$7:$G$282,전표!$A$7:$A$282,$A203),0))</f>
        <v/>
      </c>
      <c r="Q203" s="10">
        <f t="shared" si="9"/>
        <v>0</v>
      </c>
      <c r="R203" t="str">
        <f t="shared" si="11"/>
        <v/>
      </c>
    </row>
    <row r="204" spans="1:18" ht="20" customHeight="1">
      <c r="A204" s="29"/>
      <c r="B204" s="31"/>
      <c r="C204" s="26"/>
      <c r="D204" s="33"/>
      <c r="E204" s="26"/>
      <c r="F204" s="27"/>
      <c r="G204" s="27"/>
      <c r="H204" s="27"/>
      <c r="I204" s="33"/>
      <c r="J204" s="33"/>
      <c r="K204" s="34" t="str">
        <f t="shared" si="10"/>
        <v/>
      </c>
      <c r="L204" s="35" t="str">
        <f>IF($E204="","",IFERROR(INDEX(계정과목!$B$6:$B$58,MATCH($E204,계정과목!$A$6:$A$58,0)),"미등록"))</f>
        <v/>
      </c>
      <c r="M204" s="34" t="str">
        <f>IF($E204="","",IFERROR(INDEX(계정과목!$C$6:$C$58,MATCH($E204,계정과목!$A$6:$A$58,0)),""))</f>
        <v/>
      </c>
      <c r="N204" s="34" t="str">
        <f>IF($E204="","",IFERROR(INDEX(계정과목!$D$6:$D$58,MATCH($E204,계정과목!$A$6:$A$58,0)),""))</f>
        <v/>
      </c>
      <c r="O204" s="34" t="str">
        <f>IF($E204="","",IF(COUNTIF(계정과목!$A$6:$A$58,$E204)=0,"미등록","정상"))</f>
        <v/>
      </c>
      <c r="P204" s="36" t="str">
        <f>IF($A204="","",ROUND(SUMIFS(전표!$F$7:$F$282,전표!$A$7:$A$282,$A204)-SUMIFS(전표!$G$7:$G$282,전표!$A$7:$A$282,$A204),0))</f>
        <v/>
      </c>
      <c r="Q204" s="10">
        <f t="shared" si="9"/>
        <v>0</v>
      </c>
      <c r="R204" t="str">
        <f t="shared" si="11"/>
        <v/>
      </c>
    </row>
    <row r="205" spans="1:18" ht="20" customHeight="1">
      <c r="A205" s="29"/>
      <c r="B205" s="31"/>
      <c r="C205" s="26"/>
      <c r="D205" s="33"/>
      <c r="E205" s="26"/>
      <c r="F205" s="27"/>
      <c r="G205" s="27"/>
      <c r="H205" s="27"/>
      <c r="I205" s="33"/>
      <c r="J205" s="33"/>
      <c r="K205" s="34" t="str">
        <f t="shared" si="10"/>
        <v/>
      </c>
      <c r="L205" s="35" t="str">
        <f>IF($E205="","",IFERROR(INDEX(계정과목!$B$6:$B$58,MATCH($E205,계정과목!$A$6:$A$58,0)),"미등록"))</f>
        <v/>
      </c>
      <c r="M205" s="34" t="str">
        <f>IF($E205="","",IFERROR(INDEX(계정과목!$C$6:$C$58,MATCH($E205,계정과목!$A$6:$A$58,0)),""))</f>
        <v/>
      </c>
      <c r="N205" s="34" t="str">
        <f>IF($E205="","",IFERROR(INDEX(계정과목!$D$6:$D$58,MATCH($E205,계정과목!$A$6:$A$58,0)),""))</f>
        <v/>
      </c>
      <c r="O205" s="34" t="str">
        <f>IF($E205="","",IF(COUNTIF(계정과목!$A$6:$A$58,$E205)=0,"미등록","정상"))</f>
        <v/>
      </c>
      <c r="P205" s="36" t="str">
        <f>IF($A205="","",ROUND(SUMIFS(전표!$F$7:$F$282,전표!$A$7:$A$282,$A205)-SUMIFS(전표!$G$7:$G$282,전표!$A$7:$A$282,$A205),0))</f>
        <v/>
      </c>
      <c r="Q205" s="10">
        <f t="shared" si="9"/>
        <v>0</v>
      </c>
      <c r="R205" t="str">
        <f t="shared" si="11"/>
        <v/>
      </c>
    </row>
    <row r="206" spans="1:18" ht="20" customHeight="1">
      <c r="A206" s="29"/>
      <c r="B206" s="31"/>
      <c r="C206" s="26"/>
      <c r="D206" s="33"/>
      <c r="E206" s="26"/>
      <c r="F206" s="27"/>
      <c r="G206" s="27"/>
      <c r="H206" s="27"/>
      <c r="I206" s="33"/>
      <c r="J206" s="33"/>
      <c r="K206" s="34" t="str">
        <f t="shared" si="10"/>
        <v/>
      </c>
      <c r="L206" s="35" t="str">
        <f>IF($E206="","",IFERROR(INDEX(계정과목!$B$6:$B$58,MATCH($E206,계정과목!$A$6:$A$58,0)),"미등록"))</f>
        <v/>
      </c>
      <c r="M206" s="34" t="str">
        <f>IF($E206="","",IFERROR(INDEX(계정과목!$C$6:$C$58,MATCH($E206,계정과목!$A$6:$A$58,0)),""))</f>
        <v/>
      </c>
      <c r="N206" s="34" t="str">
        <f>IF($E206="","",IFERROR(INDEX(계정과목!$D$6:$D$58,MATCH($E206,계정과목!$A$6:$A$58,0)),""))</f>
        <v/>
      </c>
      <c r="O206" s="34" t="str">
        <f>IF($E206="","",IF(COUNTIF(계정과목!$A$6:$A$58,$E206)=0,"미등록","정상"))</f>
        <v/>
      </c>
      <c r="P206" s="36" t="str">
        <f>IF($A206="","",ROUND(SUMIFS(전표!$F$7:$F$282,전표!$A$7:$A$282,$A206)-SUMIFS(전표!$G$7:$G$282,전표!$A$7:$A$282,$A206),0))</f>
        <v/>
      </c>
      <c r="Q206" s="10">
        <f t="shared" si="9"/>
        <v>0</v>
      </c>
      <c r="R206" t="str">
        <f t="shared" si="11"/>
        <v/>
      </c>
    </row>
    <row r="207" spans="1:18" ht="20" customHeight="1">
      <c r="A207" s="29"/>
      <c r="B207" s="31"/>
      <c r="C207" s="26"/>
      <c r="D207" s="33"/>
      <c r="E207" s="26"/>
      <c r="F207" s="27"/>
      <c r="G207" s="27"/>
      <c r="H207" s="27"/>
      <c r="I207" s="33"/>
      <c r="J207" s="33"/>
      <c r="K207" s="34" t="str">
        <f t="shared" si="10"/>
        <v/>
      </c>
      <c r="L207" s="35" t="str">
        <f>IF($E207="","",IFERROR(INDEX(계정과목!$B$6:$B$58,MATCH($E207,계정과목!$A$6:$A$58,0)),"미등록"))</f>
        <v/>
      </c>
      <c r="M207" s="34" t="str">
        <f>IF($E207="","",IFERROR(INDEX(계정과목!$C$6:$C$58,MATCH($E207,계정과목!$A$6:$A$58,0)),""))</f>
        <v/>
      </c>
      <c r="N207" s="34" t="str">
        <f>IF($E207="","",IFERROR(INDEX(계정과목!$D$6:$D$58,MATCH($E207,계정과목!$A$6:$A$58,0)),""))</f>
        <v/>
      </c>
      <c r="O207" s="34" t="str">
        <f>IF($E207="","",IF(COUNTIF(계정과목!$A$6:$A$58,$E207)=0,"미등록","정상"))</f>
        <v/>
      </c>
      <c r="P207" s="36" t="str">
        <f>IF($A207="","",ROUND(SUMIFS(전표!$F$7:$F$282,전표!$A$7:$A$282,$A207)-SUMIFS(전표!$G$7:$G$282,전표!$A$7:$A$282,$A207),0))</f>
        <v/>
      </c>
      <c r="Q207" s="10">
        <f t="shared" si="9"/>
        <v>0</v>
      </c>
      <c r="R207" t="str">
        <f t="shared" si="11"/>
        <v/>
      </c>
    </row>
    <row r="208" spans="1:18" ht="20" customHeight="1">
      <c r="A208" s="29"/>
      <c r="B208" s="31"/>
      <c r="C208" s="26"/>
      <c r="D208" s="33"/>
      <c r="E208" s="26"/>
      <c r="F208" s="27"/>
      <c r="G208" s="27"/>
      <c r="H208" s="27"/>
      <c r="I208" s="33"/>
      <c r="J208" s="33"/>
      <c r="K208" s="34" t="str">
        <f t="shared" si="10"/>
        <v/>
      </c>
      <c r="L208" s="35" t="str">
        <f>IF($E208="","",IFERROR(INDEX(계정과목!$B$6:$B$58,MATCH($E208,계정과목!$A$6:$A$58,0)),"미등록"))</f>
        <v/>
      </c>
      <c r="M208" s="34" t="str">
        <f>IF($E208="","",IFERROR(INDEX(계정과목!$C$6:$C$58,MATCH($E208,계정과목!$A$6:$A$58,0)),""))</f>
        <v/>
      </c>
      <c r="N208" s="34" t="str">
        <f>IF($E208="","",IFERROR(INDEX(계정과목!$D$6:$D$58,MATCH($E208,계정과목!$A$6:$A$58,0)),""))</f>
        <v/>
      </c>
      <c r="O208" s="34" t="str">
        <f>IF($E208="","",IF(COUNTIF(계정과목!$A$6:$A$58,$E208)=0,"미등록","정상"))</f>
        <v/>
      </c>
      <c r="P208" s="36" t="str">
        <f>IF($A208="","",ROUND(SUMIFS(전표!$F$7:$F$282,전표!$A$7:$A$282,$A208)-SUMIFS(전표!$G$7:$G$282,전표!$A$7:$A$282,$A208),0))</f>
        <v/>
      </c>
      <c r="Q208" s="10">
        <f t="shared" si="9"/>
        <v>0</v>
      </c>
      <c r="R208" t="str">
        <f t="shared" si="11"/>
        <v/>
      </c>
    </row>
    <row r="209" spans="1:18" ht="20" customHeight="1">
      <c r="A209" s="29"/>
      <c r="B209" s="31"/>
      <c r="C209" s="26"/>
      <c r="D209" s="33"/>
      <c r="E209" s="26"/>
      <c r="F209" s="27"/>
      <c r="G209" s="27"/>
      <c r="H209" s="27"/>
      <c r="I209" s="33"/>
      <c r="J209" s="33"/>
      <c r="K209" s="34" t="str">
        <f t="shared" si="10"/>
        <v/>
      </c>
      <c r="L209" s="35" t="str">
        <f>IF($E209="","",IFERROR(INDEX(계정과목!$B$6:$B$58,MATCH($E209,계정과목!$A$6:$A$58,0)),"미등록"))</f>
        <v/>
      </c>
      <c r="M209" s="34" t="str">
        <f>IF($E209="","",IFERROR(INDEX(계정과목!$C$6:$C$58,MATCH($E209,계정과목!$A$6:$A$58,0)),""))</f>
        <v/>
      </c>
      <c r="N209" s="34" t="str">
        <f>IF($E209="","",IFERROR(INDEX(계정과목!$D$6:$D$58,MATCH($E209,계정과목!$A$6:$A$58,0)),""))</f>
        <v/>
      </c>
      <c r="O209" s="34" t="str">
        <f>IF($E209="","",IF(COUNTIF(계정과목!$A$6:$A$58,$E209)=0,"미등록","정상"))</f>
        <v/>
      </c>
      <c r="P209" s="36" t="str">
        <f>IF($A209="","",ROUND(SUMIFS(전표!$F$7:$F$282,전표!$A$7:$A$282,$A209)-SUMIFS(전표!$G$7:$G$282,전표!$A$7:$A$282,$A209),0))</f>
        <v/>
      </c>
      <c r="Q209" s="10">
        <f t="shared" si="9"/>
        <v>0</v>
      </c>
      <c r="R209" t="str">
        <f t="shared" si="11"/>
        <v/>
      </c>
    </row>
    <row r="210" spans="1:18" ht="20" customHeight="1">
      <c r="A210" s="29"/>
      <c r="B210" s="31"/>
      <c r="C210" s="26"/>
      <c r="D210" s="33"/>
      <c r="E210" s="26"/>
      <c r="F210" s="27"/>
      <c r="G210" s="27"/>
      <c r="H210" s="27"/>
      <c r="I210" s="33"/>
      <c r="J210" s="33"/>
      <c r="K210" s="34" t="str">
        <f t="shared" si="10"/>
        <v/>
      </c>
      <c r="L210" s="35" t="str">
        <f>IF($E210="","",IFERROR(INDEX(계정과목!$B$6:$B$58,MATCH($E210,계정과목!$A$6:$A$58,0)),"미등록"))</f>
        <v/>
      </c>
      <c r="M210" s="34" t="str">
        <f>IF($E210="","",IFERROR(INDEX(계정과목!$C$6:$C$58,MATCH($E210,계정과목!$A$6:$A$58,0)),""))</f>
        <v/>
      </c>
      <c r="N210" s="34" t="str">
        <f>IF($E210="","",IFERROR(INDEX(계정과목!$D$6:$D$58,MATCH($E210,계정과목!$A$6:$A$58,0)),""))</f>
        <v/>
      </c>
      <c r="O210" s="34" t="str">
        <f>IF($E210="","",IF(COUNTIF(계정과목!$A$6:$A$58,$E210)=0,"미등록","정상"))</f>
        <v/>
      </c>
      <c r="P210" s="36" t="str">
        <f>IF($A210="","",ROUND(SUMIFS(전표!$F$7:$F$282,전표!$A$7:$A$282,$A210)-SUMIFS(전표!$G$7:$G$282,전표!$A$7:$A$282,$A210),0))</f>
        <v/>
      </c>
      <c r="Q210" s="10">
        <f t="shared" si="9"/>
        <v>0</v>
      </c>
      <c r="R210" t="str">
        <f t="shared" si="11"/>
        <v/>
      </c>
    </row>
    <row r="211" spans="1:18" ht="20" customHeight="1">
      <c r="A211" s="29"/>
      <c r="B211" s="31"/>
      <c r="C211" s="26"/>
      <c r="D211" s="33"/>
      <c r="E211" s="26"/>
      <c r="F211" s="27"/>
      <c r="G211" s="27"/>
      <c r="H211" s="27"/>
      <c r="I211" s="33"/>
      <c r="J211" s="33"/>
      <c r="K211" s="34" t="str">
        <f t="shared" si="10"/>
        <v/>
      </c>
      <c r="L211" s="35" t="str">
        <f>IF($E211="","",IFERROR(INDEX(계정과목!$B$6:$B$58,MATCH($E211,계정과목!$A$6:$A$58,0)),"미등록"))</f>
        <v/>
      </c>
      <c r="M211" s="34" t="str">
        <f>IF($E211="","",IFERROR(INDEX(계정과목!$C$6:$C$58,MATCH($E211,계정과목!$A$6:$A$58,0)),""))</f>
        <v/>
      </c>
      <c r="N211" s="34" t="str">
        <f>IF($E211="","",IFERROR(INDEX(계정과목!$D$6:$D$58,MATCH($E211,계정과목!$A$6:$A$58,0)),""))</f>
        <v/>
      </c>
      <c r="O211" s="34" t="str">
        <f>IF($E211="","",IF(COUNTIF(계정과목!$A$6:$A$58,$E211)=0,"미등록","정상"))</f>
        <v/>
      </c>
      <c r="P211" s="36" t="str">
        <f>IF($A211="","",ROUND(SUMIFS(전표!$F$7:$F$282,전표!$A$7:$A$282,$A211)-SUMIFS(전표!$G$7:$G$282,전표!$A$7:$A$282,$A211),0))</f>
        <v/>
      </c>
      <c r="Q211" s="10">
        <f t="shared" si="9"/>
        <v>0</v>
      </c>
      <c r="R211" t="str">
        <f t="shared" si="11"/>
        <v/>
      </c>
    </row>
    <row r="212" spans="1:18" ht="20" customHeight="1">
      <c r="A212" s="29"/>
      <c r="B212" s="31"/>
      <c r="C212" s="26"/>
      <c r="D212" s="33"/>
      <c r="E212" s="26"/>
      <c r="F212" s="27"/>
      <c r="G212" s="27"/>
      <c r="H212" s="27"/>
      <c r="I212" s="33"/>
      <c r="J212" s="33"/>
      <c r="K212" s="34" t="str">
        <f t="shared" si="10"/>
        <v/>
      </c>
      <c r="L212" s="35" t="str">
        <f>IF($E212="","",IFERROR(INDEX(계정과목!$B$6:$B$58,MATCH($E212,계정과목!$A$6:$A$58,0)),"미등록"))</f>
        <v/>
      </c>
      <c r="M212" s="34" t="str">
        <f>IF($E212="","",IFERROR(INDEX(계정과목!$C$6:$C$58,MATCH($E212,계정과목!$A$6:$A$58,0)),""))</f>
        <v/>
      </c>
      <c r="N212" s="34" t="str">
        <f>IF($E212="","",IFERROR(INDEX(계정과목!$D$6:$D$58,MATCH($E212,계정과목!$A$6:$A$58,0)),""))</f>
        <v/>
      </c>
      <c r="O212" s="34" t="str">
        <f>IF($E212="","",IF(COUNTIF(계정과목!$A$6:$A$58,$E212)=0,"미등록","정상"))</f>
        <v/>
      </c>
      <c r="P212" s="36" t="str">
        <f>IF($A212="","",ROUND(SUMIFS(전표!$F$7:$F$282,전표!$A$7:$A$282,$A212)-SUMIFS(전표!$G$7:$G$282,전표!$A$7:$A$282,$A212),0))</f>
        <v/>
      </c>
      <c r="Q212" s="10">
        <f t="shared" si="9"/>
        <v>0</v>
      </c>
      <c r="R212" t="str">
        <f t="shared" si="11"/>
        <v/>
      </c>
    </row>
    <row r="213" spans="1:18" ht="20" customHeight="1">
      <c r="A213" s="29"/>
      <c r="B213" s="31"/>
      <c r="C213" s="26"/>
      <c r="D213" s="33"/>
      <c r="E213" s="26"/>
      <c r="F213" s="27"/>
      <c r="G213" s="27"/>
      <c r="H213" s="27"/>
      <c r="I213" s="33"/>
      <c r="J213" s="33"/>
      <c r="K213" s="34" t="str">
        <f t="shared" si="10"/>
        <v/>
      </c>
      <c r="L213" s="35" t="str">
        <f>IF($E213="","",IFERROR(INDEX(계정과목!$B$6:$B$58,MATCH($E213,계정과목!$A$6:$A$58,0)),"미등록"))</f>
        <v/>
      </c>
      <c r="M213" s="34" t="str">
        <f>IF($E213="","",IFERROR(INDEX(계정과목!$C$6:$C$58,MATCH($E213,계정과목!$A$6:$A$58,0)),""))</f>
        <v/>
      </c>
      <c r="N213" s="34" t="str">
        <f>IF($E213="","",IFERROR(INDEX(계정과목!$D$6:$D$58,MATCH($E213,계정과목!$A$6:$A$58,0)),""))</f>
        <v/>
      </c>
      <c r="O213" s="34" t="str">
        <f>IF($E213="","",IF(COUNTIF(계정과목!$A$6:$A$58,$E213)=0,"미등록","정상"))</f>
        <v/>
      </c>
      <c r="P213" s="36" t="str">
        <f>IF($A213="","",ROUND(SUMIFS(전표!$F$7:$F$282,전표!$A$7:$A$282,$A213)-SUMIFS(전표!$G$7:$G$282,전표!$A$7:$A$282,$A213),0))</f>
        <v/>
      </c>
      <c r="Q213" s="10">
        <f t="shared" si="9"/>
        <v>0</v>
      </c>
      <c r="R213" t="str">
        <f t="shared" si="11"/>
        <v/>
      </c>
    </row>
    <row r="214" spans="1:18" ht="20" customHeight="1">
      <c r="A214" s="29"/>
      <c r="B214" s="31"/>
      <c r="C214" s="26"/>
      <c r="D214" s="33"/>
      <c r="E214" s="26"/>
      <c r="F214" s="27"/>
      <c r="G214" s="27"/>
      <c r="H214" s="27"/>
      <c r="I214" s="33"/>
      <c r="J214" s="33"/>
      <c r="K214" s="34" t="str">
        <f t="shared" si="10"/>
        <v/>
      </c>
      <c r="L214" s="35" t="str">
        <f>IF($E214="","",IFERROR(INDEX(계정과목!$B$6:$B$58,MATCH($E214,계정과목!$A$6:$A$58,0)),"미등록"))</f>
        <v/>
      </c>
      <c r="M214" s="34" t="str">
        <f>IF($E214="","",IFERROR(INDEX(계정과목!$C$6:$C$58,MATCH($E214,계정과목!$A$6:$A$58,0)),""))</f>
        <v/>
      </c>
      <c r="N214" s="34" t="str">
        <f>IF($E214="","",IFERROR(INDEX(계정과목!$D$6:$D$58,MATCH($E214,계정과목!$A$6:$A$58,0)),""))</f>
        <v/>
      </c>
      <c r="O214" s="34" t="str">
        <f>IF($E214="","",IF(COUNTIF(계정과목!$A$6:$A$58,$E214)=0,"미등록","정상"))</f>
        <v/>
      </c>
      <c r="P214" s="36" t="str">
        <f>IF($A214="","",ROUND(SUMIFS(전표!$F$7:$F$282,전표!$A$7:$A$282,$A214)-SUMIFS(전표!$G$7:$G$282,전표!$A$7:$A$282,$A214),0))</f>
        <v/>
      </c>
      <c r="Q214" s="10">
        <f t="shared" si="9"/>
        <v>0</v>
      </c>
      <c r="R214" t="str">
        <f t="shared" si="11"/>
        <v/>
      </c>
    </row>
    <row r="215" spans="1:18" ht="20" customHeight="1">
      <c r="A215" s="29"/>
      <c r="B215" s="31"/>
      <c r="C215" s="26"/>
      <c r="D215" s="33"/>
      <c r="E215" s="26"/>
      <c r="F215" s="27"/>
      <c r="G215" s="27"/>
      <c r="H215" s="27"/>
      <c r="I215" s="33"/>
      <c r="J215" s="33"/>
      <c r="K215" s="34" t="str">
        <f t="shared" si="10"/>
        <v/>
      </c>
      <c r="L215" s="35" t="str">
        <f>IF($E215="","",IFERROR(INDEX(계정과목!$B$6:$B$58,MATCH($E215,계정과목!$A$6:$A$58,0)),"미등록"))</f>
        <v/>
      </c>
      <c r="M215" s="34" t="str">
        <f>IF($E215="","",IFERROR(INDEX(계정과목!$C$6:$C$58,MATCH($E215,계정과목!$A$6:$A$58,0)),""))</f>
        <v/>
      </c>
      <c r="N215" s="34" t="str">
        <f>IF($E215="","",IFERROR(INDEX(계정과목!$D$6:$D$58,MATCH($E215,계정과목!$A$6:$A$58,0)),""))</f>
        <v/>
      </c>
      <c r="O215" s="34" t="str">
        <f>IF($E215="","",IF(COUNTIF(계정과목!$A$6:$A$58,$E215)=0,"미등록","정상"))</f>
        <v/>
      </c>
      <c r="P215" s="36" t="str">
        <f>IF($A215="","",ROUND(SUMIFS(전표!$F$7:$F$282,전표!$A$7:$A$282,$A215)-SUMIFS(전표!$G$7:$G$282,전표!$A$7:$A$282,$A215),0))</f>
        <v/>
      </c>
      <c r="Q215" s="10">
        <f t="shared" si="9"/>
        <v>0</v>
      </c>
      <c r="R215" t="str">
        <f t="shared" si="11"/>
        <v/>
      </c>
    </row>
    <row r="216" spans="1:18" ht="20" customHeight="1">
      <c r="A216" s="29"/>
      <c r="B216" s="31"/>
      <c r="C216" s="26"/>
      <c r="D216" s="33"/>
      <c r="E216" s="26"/>
      <c r="F216" s="27"/>
      <c r="G216" s="27"/>
      <c r="H216" s="27"/>
      <c r="I216" s="33"/>
      <c r="J216" s="33"/>
      <c r="K216" s="34" t="str">
        <f t="shared" si="10"/>
        <v/>
      </c>
      <c r="L216" s="35" t="str">
        <f>IF($E216="","",IFERROR(INDEX(계정과목!$B$6:$B$58,MATCH($E216,계정과목!$A$6:$A$58,0)),"미등록"))</f>
        <v/>
      </c>
      <c r="M216" s="34" t="str">
        <f>IF($E216="","",IFERROR(INDEX(계정과목!$C$6:$C$58,MATCH($E216,계정과목!$A$6:$A$58,0)),""))</f>
        <v/>
      </c>
      <c r="N216" s="34" t="str">
        <f>IF($E216="","",IFERROR(INDEX(계정과목!$D$6:$D$58,MATCH($E216,계정과목!$A$6:$A$58,0)),""))</f>
        <v/>
      </c>
      <c r="O216" s="34" t="str">
        <f>IF($E216="","",IF(COUNTIF(계정과목!$A$6:$A$58,$E216)=0,"미등록","정상"))</f>
        <v/>
      </c>
      <c r="P216" s="36" t="str">
        <f>IF($A216="","",ROUND(SUMIFS(전표!$F$7:$F$282,전표!$A$7:$A$282,$A216)-SUMIFS(전표!$G$7:$G$282,전표!$A$7:$A$282,$A216),0))</f>
        <v/>
      </c>
      <c r="Q216" s="10">
        <f t="shared" si="9"/>
        <v>0</v>
      </c>
      <c r="R216" t="str">
        <f t="shared" si="11"/>
        <v/>
      </c>
    </row>
    <row r="217" spans="1:18" ht="20" customHeight="1">
      <c r="A217" s="29"/>
      <c r="B217" s="31"/>
      <c r="C217" s="26"/>
      <c r="D217" s="33"/>
      <c r="E217" s="26"/>
      <c r="F217" s="27"/>
      <c r="G217" s="27"/>
      <c r="H217" s="27"/>
      <c r="I217" s="33"/>
      <c r="J217" s="33"/>
      <c r="K217" s="34" t="str">
        <f t="shared" si="10"/>
        <v/>
      </c>
      <c r="L217" s="35" t="str">
        <f>IF($E217="","",IFERROR(INDEX(계정과목!$B$6:$B$58,MATCH($E217,계정과목!$A$6:$A$58,0)),"미등록"))</f>
        <v/>
      </c>
      <c r="M217" s="34" t="str">
        <f>IF($E217="","",IFERROR(INDEX(계정과목!$C$6:$C$58,MATCH($E217,계정과목!$A$6:$A$58,0)),""))</f>
        <v/>
      </c>
      <c r="N217" s="34" t="str">
        <f>IF($E217="","",IFERROR(INDEX(계정과목!$D$6:$D$58,MATCH($E217,계정과목!$A$6:$A$58,0)),""))</f>
        <v/>
      </c>
      <c r="O217" s="34" t="str">
        <f>IF($E217="","",IF(COUNTIF(계정과목!$A$6:$A$58,$E217)=0,"미등록","정상"))</f>
        <v/>
      </c>
      <c r="P217" s="36" t="str">
        <f>IF($A217="","",ROUND(SUMIFS(전표!$F$7:$F$282,전표!$A$7:$A$282,$A217)-SUMIFS(전표!$G$7:$G$282,전표!$A$7:$A$282,$A217),0))</f>
        <v/>
      </c>
      <c r="Q217" s="10">
        <f t="shared" si="9"/>
        <v>0</v>
      </c>
      <c r="R217" t="str">
        <f t="shared" si="11"/>
        <v/>
      </c>
    </row>
    <row r="218" spans="1:18" ht="20" customHeight="1">
      <c r="A218" s="29"/>
      <c r="B218" s="31"/>
      <c r="C218" s="26"/>
      <c r="D218" s="33"/>
      <c r="E218" s="26"/>
      <c r="F218" s="27"/>
      <c r="G218" s="27"/>
      <c r="H218" s="27"/>
      <c r="I218" s="33"/>
      <c r="J218" s="33"/>
      <c r="K218" s="34" t="str">
        <f t="shared" si="10"/>
        <v/>
      </c>
      <c r="L218" s="35" t="str">
        <f>IF($E218="","",IFERROR(INDEX(계정과목!$B$6:$B$58,MATCH($E218,계정과목!$A$6:$A$58,0)),"미등록"))</f>
        <v/>
      </c>
      <c r="M218" s="34" t="str">
        <f>IF($E218="","",IFERROR(INDEX(계정과목!$C$6:$C$58,MATCH($E218,계정과목!$A$6:$A$58,0)),""))</f>
        <v/>
      </c>
      <c r="N218" s="34" t="str">
        <f>IF($E218="","",IFERROR(INDEX(계정과목!$D$6:$D$58,MATCH($E218,계정과목!$A$6:$A$58,0)),""))</f>
        <v/>
      </c>
      <c r="O218" s="34" t="str">
        <f>IF($E218="","",IF(COUNTIF(계정과목!$A$6:$A$58,$E218)=0,"미등록","정상"))</f>
        <v/>
      </c>
      <c r="P218" s="36" t="str">
        <f>IF($A218="","",ROUND(SUMIFS(전표!$F$7:$F$282,전표!$A$7:$A$282,$A218)-SUMIFS(전표!$G$7:$G$282,전표!$A$7:$A$282,$A218),0))</f>
        <v/>
      </c>
      <c r="Q218" s="10">
        <f t="shared" si="9"/>
        <v>0</v>
      </c>
      <c r="R218" t="str">
        <f t="shared" si="11"/>
        <v/>
      </c>
    </row>
    <row r="219" spans="1:18" ht="20" customHeight="1">
      <c r="A219" s="29"/>
      <c r="B219" s="31"/>
      <c r="C219" s="26"/>
      <c r="D219" s="33"/>
      <c r="E219" s="26"/>
      <c r="F219" s="27"/>
      <c r="G219" s="27"/>
      <c r="H219" s="27"/>
      <c r="I219" s="33"/>
      <c r="J219" s="33"/>
      <c r="K219" s="34" t="str">
        <f t="shared" si="10"/>
        <v/>
      </c>
      <c r="L219" s="35" t="str">
        <f>IF($E219="","",IFERROR(INDEX(계정과목!$B$6:$B$58,MATCH($E219,계정과목!$A$6:$A$58,0)),"미등록"))</f>
        <v/>
      </c>
      <c r="M219" s="34" t="str">
        <f>IF($E219="","",IFERROR(INDEX(계정과목!$C$6:$C$58,MATCH($E219,계정과목!$A$6:$A$58,0)),""))</f>
        <v/>
      </c>
      <c r="N219" s="34" t="str">
        <f>IF($E219="","",IFERROR(INDEX(계정과목!$D$6:$D$58,MATCH($E219,계정과목!$A$6:$A$58,0)),""))</f>
        <v/>
      </c>
      <c r="O219" s="34" t="str">
        <f>IF($E219="","",IF(COUNTIF(계정과목!$A$6:$A$58,$E219)=0,"미등록","정상"))</f>
        <v/>
      </c>
      <c r="P219" s="36" t="str">
        <f>IF($A219="","",ROUND(SUMIFS(전표!$F$7:$F$282,전표!$A$7:$A$282,$A219)-SUMIFS(전표!$G$7:$G$282,전표!$A$7:$A$282,$A219),0))</f>
        <v/>
      </c>
      <c r="Q219" s="10">
        <f t="shared" si="9"/>
        <v>0</v>
      </c>
      <c r="R219" t="str">
        <f t="shared" si="11"/>
        <v/>
      </c>
    </row>
    <row r="220" spans="1:18" ht="20" customHeight="1">
      <c r="A220" s="29"/>
      <c r="B220" s="31"/>
      <c r="C220" s="26"/>
      <c r="D220" s="33"/>
      <c r="E220" s="26"/>
      <c r="F220" s="27"/>
      <c r="G220" s="27"/>
      <c r="H220" s="27"/>
      <c r="I220" s="33"/>
      <c r="J220" s="33"/>
      <c r="K220" s="34" t="str">
        <f t="shared" si="10"/>
        <v/>
      </c>
      <c r="L220" s="35" t="str">
        <f>IF($E220="","",IFERROR(INDEX(계정과목!$B$6:$B$58,MATCH($E220,계정과목!$A$6:$A$58,0)),"미등록"))</f>
        <v/>
      </c>
      <c r="M220" s="34" t="str">
        <f>IF($E220="","",IFERROR(INDEX(계정과목!$C$6:$C$58,MATCH($E220,계정과목!$A$6:$A$58,0)),""))</f>
        <v/>
      </c>
      <c r="N220" s="34" t="str">
        <f>IF($E220="","",IFERROR(INDEX(계정과목!$D$6:$D$58,MATCH($E220,계정과목!$A$6:$A$58,0)),""))</f>
        <v/>
      </c>
      <c r="O220" s="34" t="str">
        <f>IF($E220="","",IF(COUNTIF(계정과목!$A$6:$A$58,$E220)=0,"미등록","정상"))</f>
        <v/>
      </c>
      <c r="P220" s="36" t="str">
        <f>IF($A220="","",ROUND(SUMIFS(전표!$F$7:$F$282,전표!$A$7:$A$282,$A220)-SUMIFS(전표!$G$7:$G$282,전표!$A$7:$A$282,$A220),0))</f>
        <v/>
      </c>
      <c r="Q220" s="10">
        <f t="shared" si="9"/>
        <v>0</v>
      </c>
      <c r="R220" t="str">
        <f t="shared" si="11"/>
        <v/>
      </c>
    </row>
    <row r="221" spans="1:18" ht="20" customHeight="1">
      <c r="A221" s="29"/>
      <c r="B221" s="31"/>
      <c r="C221" s="26"/>
      <c r="D221" s="33"/>
      <c r="E221" s="26"/>
      <c r="F221" s="27"/>
      <c r="G221" s="27"/>
      <c r="H221" s="27"/>
      <c r="I221" s="33"/>
      <c r="J221" s="33"/>
      <c r="K221" s="34" t="str">
        <f t="shared" si="10"/>
        <v/>
      </c>
      <c r="L221" s="35" t="str">
        <f>IF($E221="","",IFERROR(INDEX(계정과목!$B$6:$B$58,MATCH($E221,계정과목!$A$6:$A$58,0)),"미등록"))</f>
        <v/>
      </c>
      <c r="M221" s="34" t="str">
        <f>IF($E221="","",IFERROR(INDEX(계정과목!$C$6:$C$58,MATCH($E221,계정과목!$A$6:$A$58,0)),""))</f>
        <v/>
      </c>
      <c r="N221" s="34" t="str">
        <f>IF($E221="","",IFERROR(INDEX(계정과목!$D$6:$D$58,MATCH($E221,계정과목!$A$6:$A$58,0)),""))</f>
        <v/>
      </c>
      <c r="O221" s="34" t="str">
        <f>IF($E221="","",IF(COUNTIF(계정과목!$A$6:$A$58,$E221)=0,"미등록","정상"))</f>
        <v/>
      </c>
      <c r="P221" s="36" t="str">
        <f>IF($A221="","",ROUND(SUMIFS(전표!$F$7:$F$282,전표!$A$7:$A$282,$A221)-SUMIFS(전표!$G$7:$G$282,전표!$A$7:$A$282,$A221),0))</f>
        <v/>
      </c>
      <c r="Q221" s="10">
        <f t="shared" si="9"/>
        <v>0</v>
      </c>
      <c r="R221" t="str">
        <f t="shared" si="11"/>
        <v/>
      </c>
    </row>
    <row r="222" spans="1:18" ht="20" customHeight="1">
      <c r="A222" s="29"/>
      <c r="B222" s="31"/>
      <c r="C222" s="26"/>
      <c r="D222" s="33"/>
      <c r="E222" s="26"/>
      <c r="F222" s="27"/>
      <c r="G222" s="27"/>
      <c r="H222" s="27"/>
      <c r="I222" s="33"/>
      <c r="J222" s="33"/>
      <c r="K222" s="34" t="str">
        <f t="shared" si="10"/>
        <v/>
      </c>
      <c r="L222" s="35" t="str">
        <f>IF($E222="","",IFERROR(INDEX(계정과목!$B$6:$B$58,MATCH($E222,계정과목!$A$6:$A$58,0)),"미등록"))</f>
        <v/>
      </c>
      <c r="M222" s="34" t="str">
        <f>IF($E222="","",IFERROR(INDEX(계정과목!$C$6:$C$58,MATCH($E222,계정과목!$A$6:$A$58,0)),""))</f>
        <v/>
      </c>
      <c r="N222" s="34" t="str">
        <f>IF($E222="","",IFERROR(INDEX(계정과목!$D$6:$D$58,MATCH($E222,계정과목!$A$6:$A$58,0)),""))</f>
        <v/>
      </c>
      <c r="O222" s="34" t="str">
        <f>IF($E222="","",IF(COUNTIF(계정과목!$A$6:$A$58,$E222)=0,"미등록","정상"))</f>
        <v/>
      </c>
      <c r="P222" s="36" t="str">
        <f>IF($A222="","",ROUND(SUMIFS(전표!$F$7:$F$282,전표!$A$7:$A$282,$A222)-SUMIFS(전표!$G$7:$G$282,전표!$A$7:$A$282,$A222),0))</f>
        <v/>
      </c>
      <c r="Q222" s="10">
        <f t="shared" si="9"/>
        <v>0</v>
      </c>
      <c r="R222" t="str">
        <f t="shared" si="11"/>
        <v/>
      </c>
    </row>
    <row r="223" spans="1:18" ht="20" customHeight="1">
      <c r="A223" s="29"/>
      <c r="B223" s="31"/>
      <c r="C223" s="26"/>
      <c r="D223" s="33"/>
      <c r="E223" s="26"/>
      <c r="F223" s="27"/>
      <c r="G223" s="27"/>
      <c r="H223" s="27"/>
      <c r="I223" s="33"/>
      <c r="J223" s="33"/>
      <c r="K223" s="34" t="str">
        <f t="shared" si="10"/>
        <v/>
      </c>
      <c r="L223" s="35" t="str">
        <f>IF($E223="","",IFERROR(INDEX(계정과목!$B$6:$B$58,MATCH($E223,계정과목!$A$6:$A$58,0)),"미등록"))</f>
        <v/>
      </c>
      <c r="M223" s="34" t="str">
        <f>IF($E223="","",IFERROR(INDEX(계정과목!$C$6:$C$58,MATCH($E223,계정과목!$A$6:$A$58,0)),""))</f>
        <v/>
      </c>
      <c r="N223" s="34" t="str">
        <f>IF($E223="","",IFERROR(INDEX(계정과목!$D$6:$D$58,MATCH($E223,계정과목!$A$6:$A$58,0)),""))</f>
        <v/>
      </c>
      <c r="O223" s="34" t="str">
        <f>IF($E223="","",IF(COUNTIF(계정과목!$A$6:$A$58,$E223)=0,"미등록","정상"))</f>
        <v/>
      </c>
      <c r="P223" s="36" t="str">
        <f>IF($A223="","",ROUND(SUMIFS(전표!$F$7:$F$282,전표!$A$7:$A$282,$A223)-SUMIFS(전표!$G$7:$G$282,전표!$A$7:$A$282,$A223),0))</f>
        <v/>
      </c>
      <c r="Q223" s="10">
        <f t="shared" si="9"/>
        <v>0</v>
      </c>
      <c r="R223" t="str">
        <f t="shared" si="11"/>
        <v/>
      </c>
    </row>
    <row r="224" spans="1:18" ht="20" customHeight="1">
      <c r="A224" s="29"/>
      <c r="B224" s="31"/>
      <c r="C224" s="26"/>
      <c r="D224" s="33"/>
      <c r="E224" s="26"/>
      <c r="F224" s="27"/>
      <c r="G224" s="27"/>
      <c r="H224" s="27"/>
      <c r="I224" s="33"/>
      <c r="J224" s="33"/>
      <c r="K224" s="34" t="str">
        <f t="shared" si="10"/>
        <v/>
      </c>
      <c r="L224" s="35" t="str">
        <f>IF($E224="","",IFERROR(INDEX(계정과목!$B$6:$B$58,MATCH($E224,계정과목!$A$6:$A$58,0)),"미등록"))</f>
        <v/>
      </c>
      <c r="M224" s="34" t="str">
        <f>IF($E224="","",IFERROR(INDEX(계정과목!$C$6:$C$58,MATCH($E224,계정과목!$A$6:$A$58,0)),""))</f>
        <v/>
      </c>
      <c r="N224" s="34" t="str">
        <f>IF($E224="","",IFERROR(INDEX(계정과목!$D$6:$D$58,MATCH($E224,계정과목!$A$6:$A$58,0)),""))</f>
        <v/>
      </c>
      <c r="O224" s="34" t="str">
        <f>IF($E224="","",IF(COUNTIF(계정과목!$A$6:$A$58,$E224)=0,"미등록","정상"))</f>
        <v/>
      </c>
      <c r="P224" s="36" t="str">
        <f>IF($A224="","",ROUND(SUMIFS(전표!$F$7:$F$282,전표!$A$7:$A$282,$A224)-SUMIFS(전표!$G$7:$G$282,전표!$A$7:$A$282,$A224),0))</f>
        <v/>
      </c>
      <c r="Q224" s="10">
        <f t="shared" si="9"/>
        <v>0</v>
      </c>
      <c r="R224" t="str">
        <f t="shared" si="11"/>
        <v/>
      </c>
    </row>
    <row r="225" spans="1:18" ht="20" customHeight="1">
      <c r="A225" s="29"/>
      <c r="B225" s="31"/>
      <c r="C225" s="26"/>
      <c r="D225" s="33"/>
      <c r="E225" s="26"/>
      <c r="F225" s="27"/>
      <c r="G225" s="27"/>
      <c r="H225" s="27"/>
      <c r="I225" s="33"/>
      <c r="J225" s="33"/>
      <c r="K225" s="34" t="str">
        <f t="shared" si="10"/>
        <v/>
      </c>
      <c r="L225" s="35" t="str">
        <f>IF($E225="","",IFERROR(INDEX(계정과목!$B$6:$B$58,MATCH($E225,계정과목!$A$6:$A$58,0)),"미등록"))</f>
        <v/>
      </c>
      <c r="M225" s="34" t="str">
        <f>IF($E225="","",IFERROR(INDEX(계정과목!$C$6:$C$58,MATCH($E225,계정과목!$A$6:$A$58,0)),""))</f>
        <v/>
      </c>
      <c r="N225" s="34" t="str">
        <f>IF($E225="","",IFERROR(INDEX(계정과목!$D$6:$D$58,MATCH($E225,계정과목!$A$6:$A$58,0)),""))</f>
        <v/>
      </c>
      <c r="O225" s="34" t="str">
        <f>IF($E225="","",IF(COUNTIF(계정과목!$A$6:$A$58,$E225)=0,"미등록","정상"))</f>
        <v/>
      </c>
      <c r="P225" s="36" t="str">
        <f>IF($A225="","",ROUND(SUMIFS(전표!$F$7:$F$282,전표!$A$7:$A$282,$A225)-SUMIFS(전표!$G$7:$G$282,전표!$A$7:$A$282,$A225),0))</f>
        <v/>
      </c>
      <c r="Q225" s="10">
        <f t="shared" si="9"/>
        <v>0</v>
      </c>
      <c r="R225" t="str">
        <f t="shared" si="11"/>
        <v/>
      </c>
    </row>
    <row r="226" spans="1:18" ht="20" customHeight="1">
      <c r="A226" s="29"/>
      <c r="B226" s="31"/>
      <c r="C226" s="26"/>
      <c r="D226" s="33"/>
      <c r="E226" s="26"/>
      <c r="F226" s="27"/>
      <c r="G226" s="27"/>
      <c r="H226" s="27"/>
      <c r="I226" s="33"/>
      <c r="J226" s="33"/>
      <c r="K226" s="34" t="str">
        <f t="shared" si="10"/>
        <v/>
      </c>
      <c r="L226" s="35" t="str">
        <f>IF($E226="","",IFERROR(INDEX(계정과목!$B$6:$B$58,MATCH($E226,계정과목!$A$6:$A$58,0)),"미등록"))</f>
        <v/>
      </c>
      <c r="M226" s="34" t="str">
        <f>IF($E226="","",IFERROR(INDEX(계정과목!$C$6:$C$58,MATCH($E226,계정과목!$A$6:$A$58,0)),""))</f>
        <v/>
      </c>
      <c r="N226" s="34" t="str">
        <f>IF($E226="","",IFERROR(INDEX(계정과목!$D$6:$D$58,MATCH($E226,계정과목!$A$6:$A$58,0)),""))</f>
        <v/>
      </c>
      <c r="O226" s="34" t="str">
        <f>IF($E226="","",IF(COUNTIF(계정과목!$A$6:$A$58,$E226)=0,"미등록","정상"))</f>
        <v/>
      </c>
      <c r="P226" s="36" t="str">
        <f>IF($A226="","",ROUND(SUMIFS(전표!$F$7:$F$282,전표!$A$7:$A$282,$A226)-SUMIFS(전표!$G$7:$G$282,전표!$A$7:$A$282,$A226),0))</f>
        <v/>
      </c>
      <c r="Q226" s="10">
        <f t="shared" si="9"/>
        <v>0</v>
      </c>
      <c r="R226" t="str">
        <f t="shared" si="11"/>
        <v/>
      </c>
    </row>
    <row r="227" spans="1:18" ht="20" customHeight="1">
      <c r="A227" s="29"/>
      <c r="B227" s="31"/>
      <c r="C227" s="26"/>
      <c r="D227" s="33"/>
      <c r="E227" s="26"/>
      <c r="F227" s="27"/>
      <c r="G227" s="27"/>
      <c r="H227" s="27"/>
      <c r="I227" s="33"/>
      <c r="J227" s="33"/>
      <c r="K227" s="34" t="str">
        <f t="shared" si="10"/>
        <v/>
      </c>
      <c r="L227" s="35" t="str">
        <f>IF($E227="","",IFERROR(INDEX(계정과목!$B$6:$B$58,MATCH($E227,계정과목!$A$6:$A$58,0)),"미등록"))</f>
        <v/>
      </c>
      <c r="M227" s="34" t="str">
        <f>IF($E227="","",IFERROR(INDEX(계정과목!$C$6:$C$58,MATCH($E227,계정과목!$A$6:$A$58,0)),""))</f>
        <v/>
      </c>
      <c r="N227" s="34" t="str">
        <f>IF($E227="","",IFERROR(INDEX(계정과목!$D$6:$D$58,MATCH($E227,계정과목!$A$6:$A$58,0)),""))</f>
        <v/>
      </c>
      <c r="O227" s="34" t="str">
        <f>IF($E227="","",IF(COUNTIF(계정과목!$A$6:$A$58,$E227)=0,"미등록","정상"))</f>
        <v/>
      </c>
      <c r="P227" s="36" t="str">
        <f>IF($A227="","",ROUND(SUMIFS(전표!$F$7:$F$282,전표!$A$7:$A$282,$A227)-SUMIFS(전표!$G$7:$G$282,전표!$A$7:$A$282,$A227),0))</f>
        <v/>
      </c>
      <c r="Q227" s="10">
        <f t="shared" si="9"/>
        <v>0</v>
      </c>
      <c r="R227" t="str">
        <f t="shared" si="11"/>
        <v/>
      </c>
    </row>
    <row r="228" spans="1:18" ht="20" customHeight="1">
      <c r="A228" s="29"/>
      <c r="B228" s="31"/>
      <c r="C228" s="26"/>
      <c r="D228" s="33"/>
      <c r="E228" s="26"/>
      <c r="F228" s="27"/>
      <c r="G228" s="27"/>
      <c r="H228" s="27"/>
      <c r="I228" s="33"/>
      <c r="J228" s="33"/>
      <c r="K228" s="34" t="str">
        <f t="shared" si="10"/>
        <v/>
      </c>
      <c r="L228" s="35" t="str">
        <f>IF($E228="","",IFERROR(INDEX(계정과목!$B$6:$B$58,MATCH($E228,계정과목!$A$6:$A$58,0)),"미등록"))</f>
        <v/>
      </c>
      <c r="M228" s="34" t="str">
        <f>IF($E228="","",IFERROR(INDEX(계정과목!$C$6:$C$58,MATCH($E228,계정과목!$A$6:$A$58,0)),""))</f>
        <v/>
      </c>
      <c r="N228" s="34" t="str">
        <f>IF($E228="","",IFERROR(INDEX(계정과목!$D$6:$D$58,MATCH($E228,계정과목!$A$6:$A$58,0)),""))</f>
        <v/>
      </c>
      <c r="O228" s="34" t="str">
        <f>IF($E228="","",IF(COUNTIF(계정과목!$A$6:$A$58,$E228)=0,"미등록","정상"))</f>
        <v/>
      </c>
      <c r="P228" s="36" t="str">
        <f>IF($A228="","",ROUND(SUMIFS(전표!$F$7:$F$282,전표!$A$7:$A$282,$A228)-SUMIFS(전표!$G$7:$G$282,전표!$A$7:$A$282,$A228),0))</f>
        <v/>
      </c>
      <c r="Q228" s="10">
        <f t="shared" si="9"/>
        <v>0</v>
      </c>
      <c r="R228" t="str">
        <f t="shared" si="11"/>
        <v/>
      </c>
    </row>
    <row r="229" spans="1:18" ht="20" customHeight="1">
      <c r="A229" s="29"/>
      <c r="B229" s="31"/>
      <c r="C229" s="26"/>
      <c r="D229" s="33"/>
      <c r="E229" s="26"/>
      <c r="F229" s="27"/>
      <c r="G229" s="27"/>
      <c r="H229" s="27"/>
      <c r="I229" s="33"/>
      <c r="J229" s="33"/>
      <c r="K229" s="34" t="str">
        <f t="shared" si="10"/>
        <v/>
      </c>
      <c r="L229" s="35" t="str">
        <f>IF($E229="","",IFERROR(INDEX(계정과목!$B$6:$B$58,MATCH($E229,계정과목!$A$6:$A$58,0)),"미등록"))</f>
        <v/>
      </c>
      <c r="M229" s="34" t="str">
        <f>IF($E229="","",IFERROR(INDEX(계정과목!$C$6:$C$58,MATCH($E229,계정과목!$A$6:$A$58,0)),""))</f>
        <v/>
      </c>
      <c r="N229" s="34" t="str">
        <f>IF($E229="","",IFERROR(INDEX(계정과목!$D$6:$D$58,MATCH($E229,계정과목!$A$6:$A$58,0)),""))</f>
        <v/>
      </c>
      <c r="O229" s="34" t="str">
        <f>IF($E229="","",IF(COUNTIF(계정과목!$A$6:$A$58,$E229)=0,"미등록","정상"))</f>
        <v/>
      </c>
      <c r="P229" s="36" t="str">
        <f>IF($A229="","",ROUND(SUMIFS(전표!$F$7:$F$282,전표!$A$7:$A$282,$A229)-SUMIFS(전표!$G$7:$G$282,전표!$A$7:$A$282,$A229),0))</f>
        <v/>
      </c>
      <c r="Q229" s="10">
        <f t="shared" si="9"/>
        <v>0</v>
      </c>
      <c r="R229" t="str">
        <f t="shared" si="11"/>
        <v/>
      </c>
    </row>
    <row r="230" spans="1:18" ht="20" customHeight="1">
      <c r="A230" s="29"/>
      <c r="B230" s="31"/>
      <c r="C230" s="26"/>
      <c r="D230" s="33"/>
      <c r="E230" s="26"/>
      <c r="F230" s="27"/>
      <c r="G230" s="27"/>
      <c r="H230" s="27"/>
      <c r="I230" s="33"/>
      <c r="J230" s="33"/>
      <c r="K230" s="34" t="str">
        <f t="shared" si="10"/>
        <v/>
      </c>
      <c r="L230" s="35" t="str">
        <f>IF($E230="","",IFERROR(INDEX(계정과목!$B$6:$B$58,MATCH($E230,계정과목!$A$6:$A$58,0)),"미등록"))</f>
        <v/>
      </c>
      <c r="M230" s="34" t="str">
        <f>IF($E230="","",IFERROR(INDEX(계정과목!$C$6:$C$58,MATCH($E230,계정과목!$A$6:$A$58,0)),""))</f>
        <v/>
      </c>
      <c r="N230" s="34" t="str">
        <f>IF($E230="","",IFERROR(INDEX(계정과목!$D$6:$D$58,MATCH($E230,계정과목!$A$6:$A$58,0)),""))</f>
        <v/>
      </c>
      <c r="O230" s="34" t="str">
        <f>IF($E230="","",IF(COUNTIF(계정과목!$A$6:$A$58,$E230)=0,"미등록","정상"))</f>
        <v/>
      </c>
      <c r="P230" s="36" t="str">
        <f>IF($A230="","",ROUND(SUMIFS(전표!$F$7:$F$282,전표!$A$7:$A$282,$A230)-SUMIFS(전표!$G$7:$G$282,전표!$A$7:$A$282,$A230),0))</f>
        <v/>
      </c>
      <c r="Q230" s="10">
        <f t="shared" si="9"/>
        <v>0</v>
      </c>
      <c r="R230" t="str">
        <f t="shared" si="11"/>
        <v/>
      </c>
    </row>
    <row r="231" spans="1:18" ht="20" customHeight="1">
      <c r="A231" s="29"/>
      <c r="B231" s="31"/>
      <c r="C231" s="26"/>
      <c r="D231" s="33"/>
      <c r="E231" s="26"/>
      <c r="F231" s="27"/>
      <c r="G231" s="27"/>
      <c r="H231" s="27"/>
      <c r="I231" s="33"/>
      <c r="J231" s="33"/>
      <c r="K231" s="34" t="str">
        <f t="shared" si="10"/>
        <v/>
      </c>
      <c r="L231" s="35" t="str">
        <f>IF($E231="","",IFERROR(INDEX(계정과목!$B$6:$B$58,MATCH($E231,계정과목!$A$6:$A$58,0)),"미등록"))</f>
        <v/>
      </c>
      <c r="M231" s="34" t="str">
        <f>IF($E231="","",IFERROR(INDEX(계정과목!$C$6:$C$58,MATCH($E231,계정과목!$A$6:$A$58,0)),""))</f>
        <v/>
      </c>
      <c r="N231" s="34" t="str">
        <f>IF($E231="","",IFERROR(INDEX(계정과목!$D$6:$D$58,MATCH($E231,계정과목!$A$6:$A$58,0)),""))</f>
        <v/>
      </c>
      <c r="O231" s="34" t="str">
        <f>IF($E231="","",IF(COUNTIF(계정과목!$A$6:$A$58,$E231)=0,"미등록","정상"))</f>
        <v/>
      </c>
      <c r="P231" s="36" t="str">
        <f>IF($A231="","",ROUND(SUMIFS(전표!$F$7:$F$282,전표!$A$7:$A$282,$A231)-SUMIFS(전표!$G$7:$G$282,전표!$A$7:$A$282,$A231),0))</f>
        <v/>
      </c>
      <c r="Q231" s="10">
        <f t="shared" si="9"/>
        <v>0</v>
      </c>
      <c r="R231" t="str">
        <f t="shared" si="11"/>
        <v/>
      </c>
    </row>
    <row r="232" spans="1:18" ht="20" customHeight="1">
      <c r="A232" s="29"/>
      <c r="B232" s="31"/>
      <c r="C232" s="26"/>
      <c r="D232" s="33"/>
      <c r="E232" s="26"/>
      <c r="F232" s="27"/>
      <c r="G232" s="27"/>
      <c r="H232" s="27"/>
      <c r="I232" s="33"/>
      <c r="J232" s="33"/>
      <c r="K232" s="34" t="str">
        <f t="shared" si="10"/>
        <v/>
      </c>
      <c r="L232" s="35" t="str">
        <f>IF($E232="","",IFERROR(INDEX(계정과목!$B$6:$B$58,MATCH($E232,계정과목!$A$6:$A$58,0)),"미등록"))</f>
        <v/>
      </c>
      <c r="M232" s="34" t="str">
        <f>IF($E232="","",IFERROR(INDEX(계정과목!$C$6:$C$58,MATCH($E232,계정과목!$A$6:$A$58,0)),""))</f>
        <v/>
      </c>
      <c r="N232" s="34" t="str">
        <f>IF($E232="","",IFERROR(INDEX(계정과목!$D$6:$D$58,MATCH($E232,계정과목!$A$6:$A$58,0)),""))</f>
        <v/>
      </c>
      <c r="O232" s="34" t="str">
        <f>IF($E232="","",IF(COUNTIF(계정과목!$A$6:$A$58,$E232)=0,"미등록","정상"))</f>
        <v/>
      </c>
      <c r="P232" s="36" t="str">
        <f>IF($A232="","",ROUND(SUMIFS(전표!$F$7:$F$282,전표!$A$7:$A$282,$A232)-SUMIFS(전표!$G$7:$G$282,전표!$A$7:$A$282,$A232),0))</f>
        <v/>
      </c>
      <c r="Q232" s="10">
        <f t="shared" si="9"/>
        <v>0</v>
      </c>
      <c r="R232" t="str">
        <f t="shared" si="11"/>
        <v/>
      </c>
    </row>
    <row r="233" spans="1:18" ht="20" customHeight="1">
      <c r="A233" s="29"/>
      <c r="B233" s="31"/>
      <c r="C233" s="26"/>
      <c r="D233" s="33"/>
      <c r="E233" s="26"/>
      <c r="F233" s="27"/>
      <c r="G233" s="27"/>
      <c r="H233" s="27"/>
      <c r="I233" s="33"/>
      <c r="J233" s="33"/>
      <c r="K233" s="34" t="str">
        <f t="shared" si="10"/>
        <v/>
      </c>
      <c r="L233" s="35" t="str">
        <f>IF($E233="","",IFERROR(INDEX(계정과목!$B$6:$B$58,MATCH($E233,계정과목!$A$6:$A$58,0)),"미등록"))</f>
        <v/>
      </c>
      <c r="M233" s="34" t="str">
        <f>IF($E233="","",IFERROR(INDEX(계정과목!$C$6:$C$58,MATCH($E233,계정과목!$A$6:$A$58,0)),""))</f>
        <v/>
      </c>
      <c r="N233" s="34" t="str">
        <f>IF($E233="","",IFERROR(INDEX(계정과목!$D$6:$D$58,MATCH($E233,계정과목!$A$6:$A$58,0)),""))</f>
        <v/>
      </c>
      <c r="O233" s="34" t="str">
        <f>IF($E233="","",IF(COUNTIF(계정과목!$A$6:$A$58,$E233)=0,"미등록","정상"))</f>
        <v/>
      </c>
      <c r="P233" s="36" t="str">
        <f>IF($A233="","",ROUND(SUMIFS(전표!$F$7:$F$282,전표!$A$7:$A$282,$A233)-SUMIFS(전표!$G$7:$G$282,전표!$A$7:$A$282,$A233),0))</f>
        <v/>
      </c>
      <c r="Q233" s="10">
        <f t="shared" si="9"/>
        <v>0</v>
      </c>
      <c r="R233" t="str">
        <f t="shared" si="11"/>
        <v/>
      </c>
    </row>
    <row r="234" spans="1:18" ht="20" customHeight="1">
      <c r="A234" s="29"/>
      <c r="B234" s="31"/>
      <c r="C234" s="26"/>
      <c r="D234" s="33"/>
      <c r="E234" s="26"/>
      <c r="F234" s="27"/>
      <c r="G234" s="27"/>
      <c r="H234" s="27"/>
      <c r="I234" s="33"/>
      <c r="J234" s="33"/>
      <c r="K234" s="34" t="str">
        <f t="shared" si="10"/>
        <v/>
      </c>
      <c r="L234" s="35" t="str">
        <f>IF($E234="","",IFERROR(INDEX(계정과목!$B$6:$B$58,MATCH($E234,계정과목!$A$6:$A$58,0)),"미등록"))</f>
        <v/>
      </c>
      <c r="M234" s="34" t="str">
        <f>IF($E234="","",IFERROR(INDEX(계정과목!$C$6:$C$58,MATCH($E234,계정과목!$A$6:$A$58,0)),""))</f>
        <v/>
      </c>
      <c r="N234" s="34" t="str">
        <f>IF($E234="","",IFERROR(INDEX(계정과목!$D$6:$D$58,MATCH($E234,계정과목!$A$6:$A$58,0)),""))</f>
        <v/>
      </c>
      <c r="O234" s="34" t="str">
        <f>IF($E234="","",IF(COUNTIF(계정과목!$A$6:$A$58,$E234)=0,"미등록","정상"))</f>
        <v/>
      </c>
      <c r="P234" s="36" t="str">
        <f>IF($A234="","",ROUND(SUMIFS(전표!$F$7:$F$282,전표!$A$7:$A$282,$A234)-SUMIFS(전표!$G$7:$G$282,전표!$A$7:$A$282,$A234),0))</f>
        <v/>
      </c>
      <c r="Q234" s="10">
        <f t="shared" si="9"/>
        <v>0</v>
      </c>
      <c r="R234" t="str">
        <f t="shared" si="11"/>
        <v/>
      </c>
    </row>
    <row r="235" spans="1:18" ht="20" customHeight="1">
      <c r="A235" s="29"/>
      <c r="B235" s="31"/>
      <c r="C235" s="26"/>
      <c r="D235" s="33"/>
      <c r="E235" s="26"/>
      <c r="F235" s="27"/>
      <c r="G235" s="27"/>
      <c r="H235" s="27"/>
      <c r="I235" s="33"/>
      <c r="J235" s="33"/>
      <c r="K235" s="34" t="str">
        <f t="shared" si="10"/>
        <v/>
      </c>
      <c r="L235" s="35" t="str">
        <f>IF($E235="","",IFERROR(INDEX(계정과목!$B$6:$B$58,MATCH($E235,계정과목!$A$6:$A$58,0)),"미등록"))</f>
        <v/>
      </c>
      <c r="M235" s="34" t="str">
        <f>IF($E235="","",IFERROR(INDEX(계정과목!$C$6:$C$58,MATCH($E235,계정과목!$A$6:$A$58,0)),""))</f>
        <v/>
      </c>
      <c r="N235" s="34" t="str">
        <f>IF($E235="","",IFERROR(INDEX(계정과목!$D$6:$D$58,MATCH($E235,계정과목!$A$6:$A$58,0)),""))</f>
        <v/>
      </c>
      <c r="O235" s="34" t="str">
        <f>IF($E235="","",IF(COUNTIF(계정과목!$A$6:$A$58,$E235)=0,"미등록","정상"))</f>
        <v/>
      </c>
      <c r="P235" s="36" t="str">
        <f>IF($A235="","",ROUND(SUMIFS(전표!$F$7:$F$282,전표!$A$7:$A$282,$A235)-SUMIFS(전표!$G$7:$G$282,전표!$A$7:$A$282,$A235),0))</f>
        <v/>
      </c>
      <c r="Q235" s="10">
        <f t="shared" si="9"/>
        <v>0</v>
      </c>
      <c r="R235" t="str">
        <f t="shared" si="11"/>
        <v/>
      </c>
    </row>
    <row r="236" spans="1:18" ht="20" customHeight="1">
      <c r="A236" s="29"/>
      <c r="B236" s="31"/>
      <c r="C236" s="26"/>
      <c r="D236" s="33"/>
      <c r="E236" s="26"/>
      <c r="F236" s="27"/>
      <c r="G236" s="27"/>
      <c r="H236" s="27"/>
      <c r="I236" s="33"/>
      <c r="J236" s="33"/>
      <c r="K236" s="34" t="str">
        <f t="shared" si="10"/>
        <v/>
      </c>
      <c r="L236" s="35" t="str">
        <f>IF($E236="","",IFERROR(INDEX(계정과목!$B$6:$B$58,MATCH($E236,계정과목!$A$6:$A$58,0)),"미등록"))</f>
        <v/>
      </c>
      <c r="M236" s="34" t="str">
        <f>IF($E236="","",IFERROR(INDEX(계정과목!$C$6:$C$58,MATCH($E236,계정과목!$A$6:$A$58,0)),""))</f>
        <v/>
      </c>
      <c r="N236" s="34" t="str">
        <f>IF($E236="","",IFERROR(INDEX(계정과목!$D$6:$D$58,MATCH($E236,계정과목!$A$6:$A$58,0)),""))</f>
        <v/>
      </c>
      <c r="O236" s="34" t="str">
        <f>IF($E236="","",IF(COUNTIF(계정과목!$A$6:$A$58,$E236)=0,"미등록","정상"))</f>
        <v/>
      </c>
      <c r="P236" s="36" t="str">
        <f>IF($A236="","",ROUND(SUMIFS(전표!$F$7:$F$282,전표!$A$7:$A$282,$A236)-SUMIFS(전표!$G$7:$G$282,전표!$A$7:$A$282,$A236),0))</f>
        <v/>
      </c>
      <c r="Q236" s="10">
        <f t="shared" si="9"/>
        <v>0</v>
      </c>
      <c r="R236" t="str">
        <f t="shared" si="11"/>
        <v/>
      </c>
    </row>
    <row r="237" spans="1:18" ht="20" customHeight="1">
      <c r="A237" s="29"/>
      <c r="B237" s="31"/>
      <c r="C237" s="26"/>
      <c r="D237" s="33"/>
      <c r="E237" s="26"/>
      <c r="F237" s="27"/>
      <c r="G237" s="27"/>
      <c r="H237" s="27"/>
      <c r="I237" s="33"/>
      <c r="J237" s="33"/>
      <c r="K237" s="34" t="str">
        <f t="shared" si="10"/>
        <v/>
      </c>
      <c r="L237" s="35" t="str">
        <f>IF($E237="","",IFERROR(INDEX(계정과목!$B$6:$B$58,MATCH($E237,계정과목!$A$6:$A$58,0)),"미등록"))</f>
        <v/>
      </c>
      <c r="M237" s="34" t="str">
        <f>IF($E237="","",IFERROR(INDEX(계정과목!$C$6:$C$58,MATCH($E237,계정과목!$A$6:$A$58,0)),""))</f>
        <v/>
      </c>
      <c r="N237" s="34" t="str">
        <f>IF($E237="","",IFERROR(INDEX(계정과목!$D$6:$D$58,MATCH($E237,계정과목!$A$6:$A$58,0)),""))</f>
        <v/>
      </c>
      <c r="O237" s="34" t="str">
        <f>IF($E237="","",IF(COUNTIF(계정과목!$A$6:$A$58,$E237)=0,"미등록","정상"))</f>
        <v/>
      </c>
      <c r="P237" s="36" t="str">
        <f>IF($A237="","",ROUND(SUMIFS(전표!$F$7:$F$282,전표!$A$7:$A$282,$A237)-SUMIFS(전표!$G$7:$G$282,전표!$A$7:$A$282,$A237),0))</f>
        <v/>
      </c>
      <c r="Q237" s="10">
        <f t="shared" si="9"/>
        <v>0</v>
      </c>
      <c r="R237" t="str">
        <f t="shared" si="11"/>
        <v/>
      </c>
    </row>
    <row r="238" spans="1:18" ht="20" customHeight="1">
      <c r="A238" s="29"/>
      <c r="B238" s="31"/>
      <c r="C238" s="26"/>
      <c r="D238" s="33"/>
      <c r="E238" s="26"/>
      <c r="F238" s="27"/>
      <c r="G238" s="27"/>
      <c r="H238" s="27"/>
      <c r="I238" s="33"/>
      <c r="J238" s="33"/>
      <c r="K238" s="34" t="str">
        <f t="shared" si="10"/>
        <v/>
      </c>
      <c r="L238" s="35" t="str">
        <f>IF($E238="","",IFERROR(INDEX(계정과목!$B$6:$B$58,MATCH($E238,계정과목!$A$6:$A$58,0)),"미등록"))</f>
        <v/>
      </c>
      <c r="M238" s="34" t="str">
        <f>IF($E238="","",IFERROR(INDEX(계정과목!$C$6:$C$58,MATCH($E238,계정과목!$A$6:$A$58,0)),""))</f>
        <v/>
      </c>
      <c r="N238" s="34" t="str">
        <f>IF($E238="","",IFERROR(INDEX(계정과목!$D$6:$D$58,MATCH($E238,계정과목!$A$6:$A$58,0)),""))</f>
        <v/>
      </c>
      <c r="O238" s="34" t="str">
        <f>IF($E238="","",IF(COUNTIF(계정과목!$A$6:$A$58,$E238)=0,"미등록","정상"))</f>
        <v/>
      </c>
      <c r="P238" s="36" t="str">
        <f>IF($A238="","",ROUND(SUMIFS(전표!$F$7:$F$282,전표!$A$7:$A$282,$A238)-SUMIFS(전표!$G$7:$G$282,전표!$A$7:$A$282,$A238),0))</f>
        <v/>
      </c>
      <c r="Q238" s="10">
        <f t="shared" si="9"/>
        <v>0</v>
      </c>
      <c r="R238" t="str">
        <f t="shared" si="11"/>
        <v/>
      </c>
    </row>
    <row r="239" spans="1:18" ht="20" customHeight="1">
      <c r="A239" s="29"/>
      <c r="B239" s="31"/>
      <c r="C239" s="26"/>
      <c r="D239" s="33"/>
      <c r="E239" s="26"/>
      <c r="F239" s="27"/>
      <c r="G239" s="27"/>
      <c r="H239" s="27"/>
      <c r="I239" s="33"/>
      <c r="J239" s="33"/>
      <c r="K239" s="34" t="str">
        <f t="shared" si="10"/>
        <v/>
      </c>
      <c r="L239" s="35" t="str">
        <f>IF($E239="","",IFERROR(INDEX(계정과목!$B$6:$B$58,MATCH($E239,계정과목!$A$6:$A$58,0)),"미등록"))</f>
        <v/>
      </c>
      <c r="M239" s="34" t="str">
        <f>IF($E239="","",IFERROR(INDEX(계정과목!$C$6:$C$58,MATCH($E239,계정과목!$A$6:$A$58,0)),""))</f>
        <v/>
      </c>
      <c r="N239" s="34" t="str">
        <f>IF($E239="","",IFERROR(INDEX(계정과목!$D$6:$D$58,MATCH($E239,계정과목!$A$6:$A$58,0)),""))</f>
        <v/>
      </c>
      <c r="O239" s="34" t="str">
        <f>IF($E239="","",IF(COUNTIF(계정과목!$A$6:$A$58,$E239)=0,"미등록","정상"))</f>
        <v/>
      </c>
      <c r="P239" s="36" t="str">
        <f>IF($A239="","",ROUND(SUMIFS(전표!$F$7:$F$282,전표!$A$7:$A$282,$A239)-SUMIFS(전표!$G$7:$G$282,전표!$A$7:$A$282,$A239),0))</f>
        <v/>
      </c>
      <c r="Q239" s="10">
        <f t="shared" ref="Q239:Q282" si="12">IF(ISNUMBER($P239),IF(ABS($P239)&gt;=1,1,0),0)</f>
        <v>0</v>
      </c>
      <c r="R239" t="str">
        <f t="shared" si="11"/>
        <v/>
      </c>
    </row>
    <row r="240" spans="1:18" ht="20" customHeight="1">
      <c r="A240" s="29"/>
      <c r="B240" s="31"/>
      <c r="C240" s="26"/>
      <c r="D240" s="33"/>
      <c r="E240" s="26"/>
      <c r="F240" s="27"/>
      <c r="G240" s="27"/>
      <c r="H240" s="27"/>
      <c r="I240" s="33"/>
      <c r="J240" s="33"/>
      <c r="K240" s="34" t="str">
        <f t="shared" si="10"/>
        <v/>
      </c>
      <c r="L240" s="35" t="str">
        <f>IF($E240="","",IFERROR(INDEX(계정과목!$B$6:$B$58,MATCH($E240,계정과목!$A$6:$A$58,0)),"미등록"))</f>
        <v/>
      </c>
      <c r="M240" s="34" t="str">
        <f>IF($E240="","",IFERROR(INDEX(계정과목!$C$6:$C$58,MATCH($E240,계정과목!$A$6:$A$58,0)),""))</f>
        <v/>
      </c>
      <c r="N240" s="34" t="str">
        <f>IF($E240="","",IFERROR(INDEX(계정과목!$D$6:$D$58,MATCH($E240,계정과목!$A$6:$A$58,0)),""))</f>
        <v/>
      </c>
      <c r="O240" s="34" t="str">
        <f>IF($E240="","",IF(COUNTIF(계정과목!$A$6:$A$58,$E240)=0,"미등록","정상"))</f>
        <v/>
      </c>
      <c r="P240" s="36" t="str">
        <f>IF($A240="","",ROUND(SUMIFS(전표!$F$7:$F$282,전표!$A$7:$A$282,$A240)-SUMIFS(전표!$G$7:$G$282,전표!$A$7:$A$282,$A240),0))</f>
        <v/>
      </c>
      <c r="Q240" s="10">
        <f t="shared" si="12"/>
        <v>0</v>
      </c>
      <c r="R240" t="str">
        <f t="shared" si="11"/>
        <v/>
      </c>
    </row>
    <row r="241" spans="1:18" ht="20" customHeight="1">
      <c r="A241" s="29"/>
      <c r="B241" s="31"/>
      <c r="C241" s="26"/>
      <c r="D241" s="33"/>
      <c r="E241" s="26"/>
      <c r="F241" s="27"/>
      <c r="G241" s="27"/>
      <c r="H241" s="27"/>
      <c r="I241" s="33"/>
      <c r="J241" s="33"/>
      <c r="K241" s="34" t="str">
        <f t="shared" si="10"/>
        <v/>
      </c>
      <c r="L241" s="35" t="str">
        <f>IF($E241="","",IFERROR(INDEX(계정과목!$B$6:$B$58,MATCH($E241,계정과목!$A$6:$A$58,0)),"미등록"))</f>
        <v/>
      </c>
      <c r="M241" s="34" t="str">
        <f>IF($E241="","",IFERROR(INDEX(계정과목!$C$6:$C$58,MATCH($E241,계정과목!$A$6:$A$58,0)),""))</f>
        <v/>
      </c>
      <c r="N241" s="34" t="str">
        <f>IF($E241="","",IFERROR(INDEX(계정과목!$D$6:$D$58,MATCH($E241,계정과목!$A$6:$A$58,0)),""))</f>
        <v/>
      </c>
      <c r="O241" s="34" t="str">
        <f>IF($E241="","",IF(COUNTIF(계정과목!$A$6:$A$58,$E241)=0,"미등록","정상"))</f>
        <v/>
      </c>
      <c r="P241" s="36" t="str">
        <f>IF($A241="","",ROUND(SUMIFS(전표!$F$7:$F$282,전표!$A$7:$A$282,$A241)-SUMIFS(전표!$G$7:$G$282,전표!$A$7:$A$282,$A241),0))</f>
        <v/>
      </c>
      <c r="Q241" s="10">
        <f t="shared" si="12"/>
        <v>0</v>
      </c>
      <c r="R241" t="str">
        <f t="shared" si="11"/>
        <v/>
      </c>
    </row>
    <row r="242" spans="1:18" ht="20" customHeight="1">
      <c r="A242" s="29"/>
      <c r="B242" s="31"/>
      <c r="C242" s="26"/>
      <c r="D242" s="33"/>
      <c r="E242" s="26"/>
      <c r="F242" s="27"/>
      <c r="G242" s="27"/>
      <c r="H242" s="27"/>
      <c r="I242" s="33"/>
      <c r="J242" s="33"/>
      <c r="K242" s="34" t="str">
        <f t="shared" si="10"/>
        <v/>
      </c>
      <c r="L242" s="35" t="str">
        <f>IF($E242="","",IFERROR(INDEX(계정과목!$B$6:$B$58,MATCH($E242,계정과목!$A$6:$A$58,0)),"미등록"))</f>
        <v/>
      </c>
      <c r="M242" s="34" t="str">
        <f>IF($E242="","",IFERROR(INDEX(계정과목!$C$6:$C$58,MATCH($E242,계정과목!$A$6:$A$58,0)),""))</f>
        <v/>
      </c>
      <c r="N242" s="34" t="str">
        <f>IF($E242="","",IFERROR(INDEX(계정과목!$D$6:$D$58,MATCH($E242,계정과목!$A$6:$A$58,0)),""))</f>
        <v/>
      </c>
      <c r="O242" s="34" t="str">
        <f>IF($E242="","",IF(COUNTIF(계정과목!$A$6:$A$58,$E242)=0,"미등록","정상"))</f>
        <v/>
      </c>
      <c r="P242" s="36" t="str">
        <f>IF($A242="","",ROUND(SUMIFS(전표!$F$7:$F$282,전표!$A$7:$A$282,$A242)-SUMIFS(전표!$G$7:$G$282,전표!$A$7:$A$282,$A242),0))</f>
        <v/>
      </c>
      <c r="Q242" s="10">
        <f t="shared" si="12"/>
        <v>0</v>
      </c>
      <c r="R242" t="str">
        <f t="shared" si="11"/>
        <v/>
      </c>
    </row>
    <row r="243" spans="1:18" ht="20" customHeight="1">
      <c r="A243" s="29"/>
      <c r="B243" s="31"/>
      <c r="C243" s="26"/>
      <c r="D243" s="33"/>
      <c r="E243" s="26"/>
      <c r="F243" s="27"/>
      <c r="G243" s="27"/>
      <c r="H243" s="27"/>
      <c r="I243" s="33"/>
      <c r="J243" s="33"/>
      <c r="K243" s="34" t="str">
        <f t="shared" si="10"/>
        <v/>
      </c>
      <c r="L243" s="35" t="str">
        <f>IF($E243="","",IFERROR(INDEX(계정과목!$B$6:$B$58,MATCH($E243,계정과목!$A$6:$A$58,0)),"미등록"))</f>
        <v/>
      </c>
      <c r="M243" s="34" t="str">
        <f>IF($E243="","",IFERROR(INDEX(계정과목!$C$6:$C$58,MATCH($E243,계정과목!$A$6:$A$58,0)),""))</f>
        <v/>
      </c>
      <c r="N243" s="34" t="str">
        <f>IF($E243="","",IFERROR(INDEX(계정과목!$D$6:$D$58,MATCH($E243,계정과목!$A$6:$A$58,0)),""))</f>
        <v/>
      </c>
      <c r="O243" s="34" t="str">
        <f>IF($E243="","",IF(COUNTIF(계정과목!$A$6:$A$58,$E243)=0,"미등록","정상"))</f>
        <v/>
      </c>
      <c r="P243" s="36" t="str">
        <f>IF($A243="","",ROUND(SUMIFS(전표!$F$7:$F$282,전표!$A$7:$A$282,$A243)-SUMIFS(전표!$G$7:$G$282,전표!$A$7:$A$282,$A243),0))</f>
        <v/>
      </c>
      <c r="Q243" s="10">
        <f t="shared" si="12"/>
        <v>0</v>
      </c>
      <c r="R243" t="str">
        <f t="shared" si="11"/>
        <v/>
      </c>
    </row>
    <row r="244" spans="1:18" ht="20" customHeight="1">
      <c r="A244" s="29"/>
      <c r="B244" s="31"/>
      <c r="C244" s="26"/>
      <c r="D244" s="33"/>
      <c r="E244" s="26"/>
      <c r="F244" s="27"/>
      <c r="G244" s="27"/>
      <c r="H244" s="27"/>
      <c r="I244" s="33"/>
      <c r="J244" s="33"/>
      <c r="K244" s="34" t="str">
        <f t="shared" si="10"/>
        <v/>
      </c>
      <c r="L244" s="35" t="str">
        <f>IF($E244="","",IFERROR(INDEX(계정과목!$B$6:$B$58,MATCH($E244,계정과목!$A$6:$A$58,0)),"미등록"))</f>
        <v/>
      </c>
      <c r="M244" s="34" t="str">
        <f>IF($E244="","",IFERROR(INDEX(계정과목!$C$6:$C$58,MATCH($E244,계정과목!$A$6:$A$58,0)),""))</f>
        <v/>
      </c>
      <c r="N244" s="34" t="str">
        <f>IF($E244="","",IFERROR(INDEX(계정과목!$D$6:$D$58,MATCH($E244,계정과목!$A$6:$A$58,0)),""))</f>
        <v/>
      </c>
      <c r="O244" s="34" t="str">
        <f>IF($E244="","",IF(COUNTIF(계정과목!$A$6:$A$58,$E244)=0,"미등록","정상"))</f>
        <v/>
      </c>
      <c r="P244" s="36" t="str">
        <f>IF($A244="","",ROUND(SUMIFS(전표!$F$7:$F$282,전표!$A$7:$A$282,$A244)-SUMIFS(전표!$G$7:$G$282,전표!$A$7:$A$282,$A244),0))</f>
        <v/>
      </c>
      <c r="Q244" s="10">
        <f t="shared" si="12"/>
        <v>0</v>
      </c>
      <c r="R244" t="str">
        <f t="shared" si="11"/>
        <v/>
      </c>
    </row>
    <row r="245" spans="1:18" ht="20" customHeight="1">
      <c r="A245" s="29"/>
      <c r="B245" s="31"/>
      <c r="C245" s="26"/>
      <c r="D245" s="33"/>
      <c r="E245" s="26"/>
      <c r="F245" s="27"/>
      <c r="G245" s="27"/>
      <c r="H245" s="27"/>
      <c r="I245" s="33"/>
      <c r="J245" s="33"/>
      <c r="K245" s="34" t="str">
        <f t="shared" si="10"/>
        <v/>
      </c>
      <c r="L245" s="35" t="str">
        <f>IF($E245="","",IFERROR(INDEX(계정과목!$B$6:$B$58,MATCH($E245,계정과목!$A$6:$A$58,0)),"미등록"))</f>
        <v/>
      </c>
      <c r="M245" s="34" t="str">
        <f>IF($E245="","",IFERROR(INDEX(계정과목!$C$6:$C$58,MATCH($E245,계정과목!$A$6:$A$58,0)),""))</f>
        <v/>
      </c>
      <c r="N245" s="34" t="str">
        <f>IF($E245="","",IFERROR(INDEX(계정과목!$D$6:$D$58,MATCH($E245,계정과목!$A$6:$A$58,0)),""))</f>
        <v/>
      </c>
      <c r="O245" s="34" t="str">
        <f>IF($E245="","",IF(COUNTIF(계정과목!$A$6:$A$58,$E245)=0,"미등록","정상"))</f>
        <v/>
      </c>
      <c r="P245" s="36" t="str">
        <f>IF($A245="","",ROUND(SUMIFS(전표!$F$7:$F$282,전표!$A$7:$A$282,$A245)-SUMIFS(전표!$G$7:$G$282,전표!$A$7:$A$282,$A245),0))</f>
        <v/>
      </c>
      <c r="Q245" s="10">
        <f t="shared" si="12"/>
        <v>0</v>
      </c>
      <c r="R245" t="str">
        <f t="shared" si="11"/>
        <v/>
      </c>
    </row>
    <row r="246" spans="1:18" ht="20" customHeight="1">
      <c r="A246" s="29"/>
      <c r="B246" s="31"/>
      <c r="C246" s="26"/>
      <c r="D246" s="33"/>
      <c r="E246" s="26"/>
      <c r="F246" s="27"/>
      <c r="G246" s="27"/>
      <c r="H246" s="27"/>
      <c r="I246" s="33"/>
      <c r="J246" s="33"/>
      <c r="K246" s="34" t="str">
        <f t="shared" si="10"/>
        <v/>
      </c>
      <c r="L246" s="35" t="str">
        <f>IF($E246="","",IFERROR(INDEX(계정과목!$B$6:$B$58,MATCH($E246,계정과목!$A$6:$A$58,0)),"미등록"))</f>
        <v/>
      </c>
      <c r="M246" s="34" t="str">
        <f>IF($E246="","",IFERROR(INDEX(계정과목!$C$6:$C$58,MATCH($E246,계정과목!$A$6:$A$58,0)),""))</f>
        <v/>
      </c>
      <c r="N246" s="34" t="str">
        <f>IF($E246="","",IFERROR(INDEX(계정과목!$D$6:$D$58,MATCH($E246,계정과목!$A$6:$A$58,0)),""))</f>
        <v/>
      </c>
      <c r="O246" s="34" t="str">
        <f>IF($E246="","",IF(COUNTIF(계정과목!$A$6:$A$58,$E246)=0,"미등록","정상"))</f>
        <v/>
      </c>
      <c r="P246" s="36" t="str">
        <f>IF($A246="","",ROUND(SUMIFS(전표!$F$7:$F$282,전표!$A$7:$A$282,$A246)-SUMIFS(전표!$G$7:$G$282,전표!$A$7:$A$282,$A246),0))</f>
        <v/>
      </c>
      <c r="Q246" s="10">
        <f t="shared" si="12"/>
        <v>0</v>
      </c>
      <c r="R246" t="str">
        <f t="shared" si="11"/>
        <v/>
      </c>
    </row>
    <row r="247" spans="1:18" ht="20" customHeight="1">
      <c r="A247" s="29"/>
      <c r="B247" s="31"/>
      <c r="C247" s="26"/>
      <c r="D247" s="33"/>
      <c r="E247" s="26"/>
      <c r="F247" s="27"/>
      <c r="G247" s="27"/>
      <c r="H247" s="27"/>
      <c r="I247" s="33"/>
      <c r="J247" s="33"/>
      <c r="K247" s="34" t="str">
        <f t="shared" si="10"/>
        <v/>
      </c>
      <c r="L247" s="35" t="str">
        <f>IF($E247="","",IFERROR(INDEX(계정과목!$B$6:$B$58,MATCH($E247,계정과목!$A$6:$A$58,0)),"미등록"))</f>
        <v/>
      </c>
      <c r="M247" s="34" t="str">
        <f>IF($E247="","",IFERROR(INDEX(계정과목!$C$6:$C$58,MATCH($E247,계정과목!$A$6:$A$58,0)),""))</f>
        <v/>
      </c>
      <c r="N247" s="34" t="str">
        <f>IF($E247="","",IFERROR(INDEX(계정과목!$D$6:$D$58,MATCH($E247,계정과목!$A$6:$A$58,0)),""))</f>
        <v/>
      </c>
      <c r="O247" s="34" t="str">
        <f>IF($E247="","",IF(COUNTIF(계정과목!$A$6:$A$58,$E247)=0,"미등록","정상"))</f>
        <v/>
      </c>
      <c r="P247" s="36" t="str">
        <f>IF($A247="","",ROUND(SUMIFS(전표!$F$7:$F$282,전표!$A$7:$A$282,$A247)-SUMIFS(전표!$G$7:$G$282,전표!$A$7:$A$282,$A247),0))</f>
        <v/>
      </c>
      <c r="Q247" s="10">
        <f t="shared" si="12"/>
        <v>0</v>
      </c>
      <c r="R247" t="str">
        <f t="shared" si="11"/>
        <v/>
      </c>
    </row>
    <row r="248" spans="1:18" ht="20" customHeight="1">
      <c r="A248" s="29"/>
      <c r="B248" s="31"/>
      <c r="C248" s="26"/>
      <c r="D248" s="33"/>
      <c r="E248" s="26"/>
      <c r="F248" s="27"/>
      <c r="G248" s="27"/>
      <c r="H248" s="27"/>
      <c r="I248" s="33"/>
      <c r="J248" s="33"/>
      <c r="K248" s="34" t="str">
        <f t="shared" si="10"/>
        <v/>
      </c>
      <c r="L248" s="35" t="str">
        <f>IF($E248="","",IFERROR(INDEX(계정과목!$B$6:$B$58,MATCH($E248,계정과목!$A$6:$A$58,0)),"미등록"))</f>
        <v/>
      </c>
      <c r="M248" s="34" t="str">
        <f>IF($E248="","",IFERROR(INDEX(계정과목!$C$6:$C$58,MATCH($E248,계정과목!$A$6:$A$58,0)),""))</f>
        <v/>
      </c>
      <c r="N248" s="34" t="str">
        <f>IF($E248="","",IFERROR(INDEX(계정과목!$D$6:$D$58,MATCH($E248,계정과목!$A$6:$A$58,0)),""))</f>
        <v/>
      </c>
      <c r="O248" s="34" t="str">
        <f>IF($E248="","",IF(COUNTIF(계정과목!$A$6:$A$58,$E248)=0,"미등록","정상"))</f>
        <v/>
      </c>
      <c r="P248" s="36" t="str">
        <f>IF($A248="","",ROUND(SUMIFS(전표!$F$7:$F$282,전표!$A$7:$A$282,$A248)-SUMIFS(전표!$G$7:$G$282,전표!$A$7:$A$282,$A248),0))</f>
        <v/>
      </c>
      <c r="Q248" s="10">
        <f t="shared" si="12"/>
        <v>0</v>
      </c>
      <c r="R248" t="str">
        <f t="shared" si="11"/>
        <v/>
      </c>
    </row>
    <row r="249" spans="1:18" ht="20" customHeight="1">
      <c r="A249" s="29"/>
      <c r="B249" s="31"/>
      <c r="C249" s="26"/>
      <c r="D249" s="33"/>
      <c r="E249" s="26"/>
      <c r="F249" s="27"/>
      <c r="G249" s="27"/>
      <c r="H249" s="27"/>
      <c r="I249" s="33"/>
      <c r="J249" s="33"/>
      <c r="K249" s="34" t="str">
        <f t="shared" si="10"/>
        <v/>
      </c>
      <c r="L249" s="35" t="str">
        <f>IF($E249="","",IFERROR(INDEX(계정과목!$B$6:$B$58,MATCH($E249,계정과목!$A$6:$A$58,0)),"미등록"))</f>
        <v/>
      </c>
      <c r="M249" s="34" t="str">
        <f>IF($E249="","",IFERROR(INDEX(계정과목!$C$6:$C$58,MATCH($E249,계정과목!$A$6:$A$58,0)),""))</f>
        <v/>
      </c>
      <c r="N249" s="34" t="str">
        <f>IF($E249="","",IFERROR(INDEX(계정과목!$D$6:$D$58,MATCH($E249,계정과목!$A$6:$A$58,0)),""))</f>
        <v/>
      </c>
      <c r="O249" s="34" t="str">
        <f>IF($E249="","",IF(COUNTIF(계정과목!$A$6:$A$58,$E249)=0,"미등록","정상"))</f>
        <v/>
      </c>
      <c r="P249" s="36" t="str">
        <f>IF($A249="","",ROUND(SUMIFS(전표!$F$7:$F$282,전표!$A$7:$A$282,$A249)-SUMIFS(전표!$G$7:$G$282,전표!$A$7:$A$282,$A249),0))</f>
        <v/>
      </c>
      <c r="Q249" s="10">
        <f t="shared" si="12"/>
        <v>0</v>
      </c>
      <c r="R249" t="str">
        <f t="shared" si="11"/>
        <v/>
      </c>
    </row>
    <row r="250" spans="1:18" ht="20" customHeight="1">
      <c r="A250" s="29"/>
      <c r="B250" s="31"/>
      <c r="C250" s="26"/>
      <c r="D250" s="33"/>
      <c r="E250" s="26"/>
      <c r="F250" s="27"/>
      <c r="G250" s="27"/>
      <c r="H250" s="27"/>
      <c r="I250" s="33"/>
      <c r="J250" s="33"/>
      <c r="K250" s="34" t="str">
        <f t="shared" si="10"/>
        <v/>
      </c>
      <c r="L250" s="35" t="str">
        <f>IF($E250="","",IFERROR(INDEX(계정과목!$B$6:$B$58,MATCH($E250,계정과목!$A$6:$A$58,0)),"미등록"))</f>
        <v/>
      </c>
      <c r="M250" s="34" t="str">
        <f>IF($E250="","",IFERROR(INDEX(계정과목!$C$6:$C$58,MATCH($E250,계정과목!$A$6:$A$58,0)),""))</f>
        <v/>
      </c>
      <c r="N250" s="34" t="str">
        <f>IF($E250="","",IFERROR(INDEX(계정과목!$D$6:$D$58,MATCH($E250,계정과목!$A$6:$A$58,0)),""))</f>
        <v/>
      </c>
      <c r="O250" s="34" t="str">
        <f>IF($E250="","",IF(COUNTIF(계정과목!$A$6:$A$58,$E250)=0,"미등록","정상"))</f>
        <v/>
      </c>
      <c r="P250" s="36" t="str">
        <f>IF($A250="","",ROUND(SUMIFS(전표!$F$7:$F$282,전표!$A$7:$A$282,$A250)-SUMIFS(전표!$G$7:$G$282,전표!$A$7:$A$282,$A250),0))</f>
        <v/>
      </c>
      <c r="Q250" s="10">
        <f t="shared" si="12"/>
        <v>0</v>
      </c>
      <c r="R250" t="str">
        <f t="shared" si="11"/>
        <v/>
      </c>
    </row>
    <row r="251" spans="1:18" ht="20" customHeight="1">
      <c r="A251" s="29"/>
      <c r="B251" s="31"/>
      <c r="C251" s="26"/>
      <c r="D251" s="33"/>
      <c r="E251" s="26"/>
      <c r="F251" s="27"/>
      <c r="G251" s="27"/>
      <c r="H251" s="27"/>
      <c r="I251" s="33"/>
      <c r="J251" s="33"/>
      <c r="K251" s="34" t="str">
        <f t="shared" si="10"/>
        <v/>
      </c>
      <c r="L251" s="35" t="str">
        <f>IF($E251="","",IFERROR(INDEX(계정과목!$B$6:$B$58,MATCH($E251,계정과목!$A$6:$A$58,0)),"미등록"))</f>
        <v/>
      </c>
      <c r="M251" s="34" t="str">
        <f>IF($E251="","",IFERROR(INDEX(계정과목!$C$6:$C$58,MATCH($E251,계정과목!$A$6:$A$58,0)),""))</f>
        <v/>
      </c>
      <c r="N251" s="34" t="str">
        <f>IF($E251="","",IFERROR(INDEX(계정과목!$D$6:$D$58,MATCH($E251,계정과목!$A$6:$A$58,0)),""))</f>
        <v/>
      </c>
      <c r="O251" s="34" t="str">
        <f>IF($E251="","",IF(COUNTIF(계정과목!$A$6:$A$58,$E251)=0,"미등록","정상"))</f>
        <v/>
      </c>
      <c r="P251" s="36" t="str">
        <f>IF($A251="","",ROUND(SUMIFS(전표!$F$7:$F$282,전표!$A$7:$A$282,$A251)-SUMIFS(전표!$G$7:$G$282,전표!$A$7:$A$282,$A251),0))</f>
        <v/>
      </c>
      <c r="Q251" s="10">
        <f t="shared" si="12"/>
        <v>0</v>
      </c>
      <c r="R251" t="str">
        <f t="shared" si="11"/>
        <v/>
      </c>
    </row>
    <row r="252" spans="1:18" ht="20" customHeight="1">
      <c r="A252" s="29"/>
      <c r="B252" s="31"/>
      <c r="C252" s="26"/>
      <c r="D252" s="33"/>
      <c r="E252" s="26"/>
      <c r="F252" s="27"/>
      <c r="G252" s="27"/>
      <c r="H252" s="27"/>
      <c r="I252" s="33"/>
      <c r="J252" s="33"/>
      <c r="K252" s="34" t="str">
        <f t="shared" si="10"/>
        <v/>
      </c>
      <c r="L252" s="35" t="str">
        <f>IF($E252="","",IFERROR(INDEX(계정과목!$B$6:$B$58,MATCH($E252,계정과목!$A$6:$A$58,0)),"미등록"))</f>
        <v/>
      </c>
      <c r="M252" s="34" t="str">
        <f>IF($E252="","",IFERROR(INDEX(계정과목!$C$6:$C$58,MATCH($E252,계정과목!$A$6:$A$58,0)),""))</f>
        <v/>
      </c>
      <c r="N252" s="34" t="str">
        <f>IF($E252="","",IFERROR(INDEX(계정과목!$D$6:$D$58,MATCH($E252,계정과목!$A$6:$A$58,0)),""))</f>
        <v/>
      </c>
      <c r="O252" s="34" t="str">
        <f>IF($E252="","",IF(COUNTIF(계정과목!$A$6:$A$58,$E252)=0,"미등록","정상"))</f>
        <v/>
      </c>
      <c r="P252" s="36" t="str">
        <f>IF($A252="","",ROUND(SUMIFS(전표!$F$7:$F$282,전표!$A$7:$A$282,$A252)-SUMIFS(전표!$G$7:$G$282,전표!$A$7:$A$282,$A252),0))</f>
        <v/>
      </c>
      <c r="Q252" s="10">
        <f t="shared" si="12"/>
        <v>0</v>
      </c>
      <c r="R252" t="str">
        <f t="shared" si="11"/>
        <v/>
      </c>
    </row>
    <row r="253" spans="1:18" ht="20" customHeight="1">
      <c r="A253" s="29"/>
      <c r="B253" s="31"/>
      <c r="C253" s="26"/>
      <c r="D253" s="33"/>
      <c r="E253" s="26"/>
      <c r="F253" s="27"/>
      <c r="G253" s="27"/>
      <c r="H253" s="27"/>
      <c r="I253" s="33"/>
      <c r="J253" s="33"/>
      <c r="K253" s="34" t="str">
        <f t="shared" si="10"/>
        <v/>
      </c>
      <c r="L253" s="35" t="str">
        <f>IF($E253="","",IFERROR(INDEX(계정과목!$B$6:$B$58,MATCH($E253,계정과목!$A$6:$A$58,0)),"미등록"))</f>
        <v/>
      </c>
      <c r="M253" s="34" t="str">
        <f>IF($E253="","",IFERROR(INDEX(계정과목!$C$6:$C$58,MATCH($E253,계정과목!$A$6:$A$58,0)),""))</f>
        <v/>
      </c>
      <c r="N253" s="34" t="str">
        <f>IF($E253="","",IFERROR(INDEX(계정과목!$D$6:$D$58,MATCH($E253,계정과목!$A$6:$A$58,0)),""))</f>
        <v/>
      </c>
      <c r="O253" s="34" t="str">
        <f>IF($E253="","",IF(COUNTIF(계정과목!$A$6:$A$58,$E253)=0,"미등록","정상"))</f>
        <v/>
      </c>
      <c r="P253" s="36" t="str">
        <f>IF($A253="","",ROUND(SUMIFS(전표!$F$7:$F$282,전표!$A$7:$A$282,$A253)-SUMIFS(전표!$G$7:$G$282,전표!$A$7:$A$282,$A253),0))</f>
        <v/>
      </c>
      <c r="Q253" s="10">
        <f t="shared" si="12"/>
        <v>0</v>
      </c>
      <c r="R253" t="str">
        <f t="shared" si="11"/>
        <v/>
      </c>
    </row>
    <row r="254" spans="1:18" ht="20" customHeight="1">
      <c r="A254" s="29"/>
      <c r="B254" s="31"/>
      <c r="C254" s="26"/>
      <c r="D254" s="33"/>
      <c r="E254" s="26"/>
      <c r="F254" s="27"/>
      <c r="G254" s="27"/>
      <c r="H254" s="27"/>
      <c r="I254" s="33"/>
      <c r="J254" s="33"/>
      <c r="K254" s="34" t="str">
        <f t="shared" si="10"/>
        <v/>
      </c>
      <c r="L254" s="35" t="str">
        <f>IF($E254="","",IFERROR(INDEX(계정과목!$B$6:$B$58,MATCH($E254,계정과목!$A$6:$A$58,0)),"미등록"))</f>
        <v/>
      </c>
      <c r="M254" s="34" t="str">
        <f>IF($E254="","",IFERROR(INDEX(계정과목!$C$6:$C$58,MATCH($E254,계정과목!$A$6:$A$58,0)),""))</f>
        <v/>
      </c>
      <c r="N254" s="34" t="str">
        <f>IF($E254="","",IFERROR(INDEX(계정과목!$D$6:$D$58,MATCH($E254,계정과목!$A$6:$A$58,0)),""))</f>
        <v/>
      </c>
      <c r="O254" s="34" t="str">
        <f>IF($E254="","",IF(COUNTIF(계정과목!$A$6:$A$58,$E254)=0,"미등록","정상"))</f>
        <v/>
      </c>
      <c r="P254" s="36" t="str">
        <f>IF($A254="","",ROUND(SUMIFS(전표!$F$7:$F$282,전표!$A$7:$A$282,$A254)-SUMIFS(전표!$G$7:$G$282,전표!$A$7:$A$282,$A254),0))</f>
        <v/>
      </c>
      <c r="Q254" s="10">
        <f t="shared" si="12"/>
        <v>0</v>
      </c>
      <c r="R254" t="str">
        <f t="shared" si="11"/>
        <v/>
      </c>
    </row>
    <row r="255" spans="1:18" ht="20" customHeight="1">
      <c r="A255" s="29"/>
      <c r="B255" s="31"/>
      <c r="C255" s="26"/>
      <c r="D255" s="33"/>
      <c r="E255" s="26"/>
      <c r="F255" s="27"/>
      <c r="G255" s="27"/>
      <c r="H255" s="27"/>
      <c r="I255" s="33"/>
      <c r="J255" s="33"/>
      <c r="K255" s="34" t="str">
        <f t="shared" si="10"/>
        <v/>
      </c>
      <c r="L255" s="35" t="str">
        <f>IF($E255="","",IFERROR(INDEX(계정과목!$B$6:$B$58,MATCH($E255,계정과목!$A$6:$A$58,0)),"미등록"))</f>
        <v/>
      </c>
      <c r="M255" s="34" t="str">
        <f>IF($E255="","",IFERROR(INDEX(계정과목!$C$6:$C$58,MATCH($E255,계정과목!$A$6:$A$58,0)),""))</f>
        <v/>
      </c>
      <c r="N255" s="34" t="str">
        <f>IF($E255="","",IFERROR(INDEX(계정과목!$D$6:$D$58,MATCH($E255,계정과목!$A$6:$A$58,0)),""))</f>
        <v/>
      </c>
      <c r="O255" s="34" t="str">
        <f>IF($E255="","",IF(COUNTIF(계정과목!$A$6:$A$58,$E255)=0,"미등록","정상"))</f>
        <v/>
      </c>
      <c r="P255" s="36" t="str">
        <f>IF($A255="","",ROUND(SUMIFS(전표!$F$7:$F$282,전표!$A$7:$A$282,$A255)-SUMIFS(전표!$G$7:$G$282,전표!$A$7:$A$282,$A255),0))</f>
        <v/>
      </c>
      <c r="Q255" s="10">
        <f t="shared" si="12"/>
        <v>0</v>
      </c>
      <c r="R255" t="str">
        <f t="shared" si="11"/>
        <v/>
      </c>
    </row>
    <row r="256" spans="1:18" ht="20" customHeight="1">
      <c r="A256" s="29"/>
      <c r="B256" s="31"/>
      <c r="C256" s="26"/>
      <c r="D256" s="33"/>
      <c r="E256" s="26"/>
      <c r="F256" s="27"/>
      <c r="G256" s="27"/>
      <c r="H256" s="27"/>
      <c r="I256" s="33"/>
      <c r="J256" s="33"/>
      <c r="K256" s="34" t="str">
        <f t="shared" si="10"/>
        <v/>
      </c>
      <c r="L256" s="35" t="str">
        <f>IF($E256="","",IFERROR(INDEX(계정과목!$B$6:$B$58,MATCH($E256,계정과목!$A$6:$A$58,0)),"미등록"))</f>
        <v/>
      </c>
      <c r="M256" s="34" t="str">
        <f>IF($E256="","",IFERROR(INDEX(계정과목!$C$6:$C$58,MATCH($E256,계정과목!$A$6:$A$58,0)),""))</f>
        <v/>
      </c>
      <c r="N256" s="34" t="str">
        <f>IF($E256="","",IFERROR(INDEX(계정과목!$D$6:$D$58,MATCH($E256,계정과목!$A$6:$A$58,0)),""))</f>
        <v/>
      </c>
      <c r="O256" s="34" t="str">
        <f>IF($E256="","",IF(COUNTIF(계정과목!$A$6:$A$58,$E256)=0,"미등록","정상"))</f>
        <v/>
      </c>
      <c r="P256" s="36" t="str">
        <f>IF($A256="","",ROUND(SUMIFS(전표!$F$7:$F$282,전표!$A$7:$A$282,$A256)-SUMIFS(전표!$G$7:$G$282,전표!$A$7:$A$282,$A256),0))</f>
        <v/>
      </c>
      <c r="Q256" s="10">
        <f t="shared" si="12"/>
        <v>0</v>
      </c>
      <c r="R256" t="str">
        <f t="shared" si="11"/>
        <v/>
      </c>
    </row>
    <row r="257" spans="1:18" ht="20" customHeight="1">
      <c r="A257" s="29"/>
      <c r="B257" s="31"/>
      <c r="C257" s="26"/>
      <c r="D257" s="33"/>
      <c r="E257" s="26"/>
      <c r="F257" s="27"/>
      <c r="G257" s="27"/>
      <c r="H257" s="27"/>
      <c r="I257" s="33"/>
      <c r="J257" s="33"/>
      <c r="K257" s="34" t="str">
        <f t="shared" si="10"/>
        <v/>
      </c>
      <c r="L257" s="35" t="str">
        <f>IF($E257="","",IFERROR(INDEX(계정과목!$B$6:$B$58,MATCH($E257,계정과목!$A$6:$A$58,0)),"미등록"))</f>
        <v/>
      </c>
      <c r="M257" s="34" t="str">
        <f>IF($E257="","",IFERROR(INDEX(계정과목!$C$6:$C$58,MATCH($E257,계정과목!$A$6:$A$58,0)),""))</f>
        <v/>
      </c>
      <c r="N257" s="34" t="str">
        <f>IF($E257="","",IFERROR(INDEX(계정과목!$D$6:$D$58,MATCH($E257,계정과목!$A$6:$A$58,0)),""))</f>
        <v/>
      </c>
      <c r="O257" s="34" t="str">
        <f>IF($E257="","",IF(COUNTIF(계정과목!$A$6:$A$58,$E257)=0,"미등록","정상"))</f>
        <v/>
      </c>
      <c r="P257" s="36" t="str">
        <f>IF($A257="","",ROUND(SUMIFS(전표!$F$7:$F$282,전표!$A$7:$A$282,$A257)-SUMIFS(전표!$G$7:$G$282,전표!$A$7:$A$282,$A257),0))</f>
        <v/>
      </c>
      <c r="Q257" s="10">
        <f t="shared" si="12"/>
        <v>0</v>
      </c>
      <c r="R257" t="str">
        <f t="shared" si="11"/>
        <v/>
      </c>
    </row>
    <row r="258" spans="1:18" ht="20" customHeight="1">
      <c r="A258" s="29"/>
      <c r="B258" s="31"/>
      <c r="C258" s="26"/>
      <c r="D258" s="33"/>
      <c r="E258" s="26"/>
      <c r="F258" s="27"/>
      <c r="G258" s="27"/>
      <c r="H258" s="27"/>
      <c r="I258" s="33"/>
      <c r="J258" s="33"/>
      <c r="K258" s="34" t="str">
        <f t="shared" si="10"/>
        <v/>
      </c>
      <c r="L258" s="35" t="str">
        <f>IF($E258="","",IFERROR(INDEX(계정과목!$B$6:$B$58,MATCH($E258,계정과목!$A$6:$A$58,0)),"미등록"))</f>
        <v/>
      </c>
      <c r="M258" s="34" t="str">
        <f>IF($E258="","",IFERROR(INDEX(계정과목!$C$6:$C$58,MATCH($E258,계정과목!$A$6:$A$58,0)),""))</f>
        <v/>
      </c>
      <c r="N258" s="34" t="str">
        <f>IF($E258="","",IFERROR(INDEX(계정과목!$D$6:$D$58,MATCH($E258,계정과목!$A$6:$A$58,0)),""))</f>
        <v/>
      </c>
      <c r="O258" s="34" t="str">
        <f>IF($E258="","",IF(COUNTIF(계정과목!$A$6:$A$58,$E258)=0,"미등록","정상"))</f>
        <v/>
      </c>
      <c r="P258" s="36" t="str">
        <f>IF($A258="","",ROUND(SUMIFS(전표!$F$7:$F$282,전표!$A$7:$A$282,$A258)-SUMIFS(전표!$G$7:$G$282,전표!$A$7:$A$282,$A258),0))</f>
        <v/>
      </c>
      <c r="Q258" s="10">
        <f t="shared" si="12"/>
        <v>0</v>
      </c>
      <c r="R258" t="str">
        <f t="shared" si="11"/>
        <v/>
      </c>
    </row>
    <row r="259" spans="1:18" ht="20" customHeight="1">
      <c r="A259" s="29"/>
      <c r="B259" s="31"/>
      <c r="C259" s="26"/>
      <c r="D259" s="33"/>
      <c r="E259" s="26"/>
      <c r="F259" s="27"/>
      <c r="G259" s="27"/>
      <c r="H259" s="27"/>
      <c r="I259" s="33"/>
      <c r="J259" s="33"/>
      <c r="K259" s="34" t="str">
        <f t="shared" si="10"/>
        <v/>
      </c>
      <c r="L259" s="35" t="str">
        <f>IF($E259="","",IFERROR(INDEX(계정과목!$B$6:$B$58,MATCH($E259,계정과목!$A$6:$A$58,0)),"미등록"))</f>
        <v/>
      </c>
      <c r="M259" s="34" t="str">
        <f>IF($E259="","",IFERROR(INDEX(계정과목!$C$6:$C$58,MATCH($E259,계정과목!$A$6:$A$58,0)),""))</f>
        <v/>
      </c>
      <c r="N259" s="34" t="str">
        <f>IF($E259="","",IFERROR(INDEX(계정과목!$D$6:$D$58,MATCH($E259,계정과목!$A$6:$A$58,0)),""))</f>
        <v/>
      </c>
      <c r="O259" s="34" t="str">
        <f>IF($E259="","",IF(COUNTIF(계정과목!$A$6:$A$58,$E259)=0,"미등록","정상"))</f>
        <v/>
      </c>
      <c r="P259" s="36" t="str">
        <f>IF($A259="","",ROUND(SUMIFS(전표!$F$7:$F$282,전표!$A$7:$A$282,$A259)-SUMIFS(전표!$G$7:$G$282,전표!$A$7:$A$282,$A259),0))</f>
        <v/>
      </c>
      <c r="Q259" s="10">
        <f t="shared" si="12"/>
        <v>0</v>
      </c>
      <c r="R259" t="str">
        <f t="shared" si="11"/>
        <v/>
      </c>
    </row>
    <row r="260" spans="1:18" ht="20" customHeight="1">
      <c r="A260" s="29"/>
      <c r="B260" s="31"/>
      <c r="C260" s="26"/>
      <c r="D260" s="33"/>
      <c r="E260" s="26"/>
      <c r="F260" s="27"/>
      <c r="G260" s="27"/>
      <c r="H260" s="27"/>
      <c r="I260" s="33"/>
      <c r="J260" s="33"/>
      <c r="K260" s="34" t="str">
        <f t="shared" si="10"/>
        <v/>
      </c>
      <c r="L260" s="35" t="str">
        <f>IF($E260="","",IFERROR(INDEX(계정과목!$B$6:$B$58,MATCH($E260,계정과목!$A$6:$A$58,0)),"미등록"))</f>
        <v/>
      </c>
      <c r="M260" s="34" t="str">
        <f>IF($E260="","",IFERROR(INDEX(계정과목!$C$6:$C$58,MATCH($E260,계정과목!$A$6:$A$58,0)),""))</f>
        <v/>
      </c>
      <c r="N260" s="34" t="str">
        <f>IF($E260="","",IFERROR(INDEX(계정과목!$D$6:$D$58,MATCH($E260,계정과목!$A$6:$A$58,0)),""))</f>
        <v/>
      </c>
      <c r="O260" s="34" t="str">
        <f>IF($E260="","",IF(COUNTIF(계정과목!$A$6:$A$58,$E260)=0,"미등록","정상"))</f>
        <v/>
      </c>
      <c r="P260" s="36" t="str">
        <f>IF($A260="","",ROUND(SUMIFS(전표!$F$7:$F$282,전표!$A$7:$A$282,$A260)-SUMIFS(전표!$G$7:$G$282,전표!$A$7:$A$282,$A260),0))</f>
        <v/>
      </c>
      <c r="Q260" s="10">
        <f t="shared" si="12"/>
        <v>0</v>
      </c>
      <c r="R260" t="str">
        <f t="shared" si="11"/>
        <v/>
      </c>
    </row>
    <row r="261" spans="1:18" ht="20" customHeight="1">
      <c r="A261" s="29"/>
      <c r="B261" s="31"/>
      <c r="C261" s="26"/>
      <c r="D261" s="33"/>
      <c r="E261" s="26"/>
      <c r="F261" s="27"/>
      <c r="G261" s="27"/>
      <c r="H261" s="27"/>
      <c r="I261" s="33"/>
      <c r="J261" s="33"/>
      <c r="K261" s="34" t="str">
        <f t="shared" si="10"/>
        <v/>
      </c>
      <c r="L261" s="35" t="str">
        <f>IF($E261="","",IFERROR(INDEX(계정과목!$B$6:$B$58,MATCH($E261,계정과목!$A$6:$A$58,0)),"미등록"))</f>
        <v/>
      </c>
      <c r="M261" s="34" t="str">
        <f>IF($E261="","",IFERROR(INDEX(계정과목!$C$6:$C$58,MATCH($E261,계정과목!$A$6:$A$58,0)),""))</f>
        <v/>
      </c>
      <c r="N261" s="34" t="str">
        <f>IF($E261="","",IFERROR(INDEX(계정과목!$D$6:$D$58,MATCH($E261,계정과목!$A$6:$A$58,0)),""))</f>
        <v/>
      </c>
      <c r="O261" s="34" t="str">
        <f>IF($E261="","",IF(COUNTIF(계정과목!$A$6:$A$58,$E261)=0,"미등록","정상"))</f>
        <v/>
      </c>
      <c r="P261" s="36" t="str">
        <f>IF($A261="","",ROUND(SUMIFS(전표!$F$7:$F$282,전표!$A$7:$A$282,$A261)-SUMIFS(전표!$G$7:$G$282,전표!$A$7:$A$282,$A261),0))</f>
        <v/>
      </c>
      <c r="Q261" s="10">
        <f t="shared" si="12"/>
        <v>0</v>
      </c>
      <c r="R261" t="str">
        <f t="shared" si="11"/>
        <v/>
      </c>
    </row>
    <row r="262" spans="1:18" ht="20" customHeight="1">
      <c r="A262" s="29"/>
      <c r="B262" s="31"/>
      <c r="C262" s="26"/>
      <c r="D262" s="33"/>
      <c r="E262" s="26"/>
      <c r="F262" s="27"/>
      <c r="G262" s="27"/>
      <c r="H262" s="27"/>
      <c r="I262" s="33"/>
      <c r="J262" s="33"/>
      <c r="K262" s="34" t="str">
        <f t="shared" si="10"/>
        <v/>
      </c>
      <c r="L262" s="35" t="str">
        <f>IF($E262="","",IFERROR(INDEX(계정과목!$B$6:$B$58,MATCH($E262,계정과목!$A$6:$A$58,0)),"미등록"))</f>
        <v/>
      </c>
      <c r="M262" s="34" t="str">
        <f>IF($E262="","",IFERROR(INDEX(계정과목!$C$6:$C$58,MATCH($E262,계정과목!$A$6:$A$58,0)),""))</f>
        <v/>
      </c>
      <c r="N262" s="34" t="str">
        <f>IF($E262="","",IFERROR(INDEX(계정과목!$D$6:$D$58,MATCH($E262,계정과목!$A$6:$A$58,0)),""))</f>
        <v/>
      </c>
      <c r="O262" s="34" t="str">
        <f>IF($E262="","",IF(COUNTIF(계정과목!$A$6:$A$58,$E262)=0,"미등록","정상"))</f>
        <v/>
      </c>
      <c r="P262" s="36" t="str">
        <f>IF($A262="","",ROUND(SUMIFS(전표!$F$7:$F$282,전표!$A$7:$A$282,$A262)-SUMIFS(전표!$G$7:$G$282,전표!$A$7:$A$282,$A262),0))</f>
        <v/>
      </c>
      <c r="Q262" s="10">
        <f t="shared" si="12"/>
        <v>0</v>
      </c>
      <c r="R262" t="str">
        <f t="shared" si="11"/>
        <v/>
      </c>
    </row>
    <row r="263" spans="1:18" ht="20" customHeight="1">
      <c r="A263" s="29"/>
      <c r="B263" s="31"/>
      <c r="C263" s="26"/>
      <c r="D263" s="33"/>
      <c r="E263" s="26"/>
      <c r="F263" s="27"/>
      <c r="G263" s="27"/>
      <c r="H263" s="27"/>
      <c r="I263" s="33"/>
      <c r="J263" s="33"/>
      <c r="K263" s="34" t="str">
        <f t="shared" ref="K263:K282" si="13">IF($B263="","",TEXT($B263,"yyyy-mm"))</f>
        <v/>
      </c>
      <c r="L263" s="35" t="str">
        <f>IF($E263="","",IFERROR(INDEX(계정과목!$B$6:$B$58,MATCH($E263,계정과목!$A$6:$A$58,0)),"미등록"))</f>
        <v/>
      </c>
      <c r="M263" s="34" t="str">
        <f>IF($E263="","",IFERROR(INDEX(계정과목!$C$6:$C$58,MATCH($E263,계정과목!$A$6:$A$58,0)),""))</f>
        <v/>
      </c>
      <c r="N263" s="34" t="str">
        <f>IF($E263="","",IFERROR(INDEX(계정과목!$D$6:$D$58,MATCH($E263,계정과목!$A$6:$A$58,0)),""))</f>
        <v/>
      </c>
      <c r="O263" s="34" t="str">
        <f>IF($E263="","",IF(COUNTIF(계정과목!$A$6:$A$58,$E263)=0,"미등록","정상"))</f>
        <v/>
      </c>
      <c r="P263" s="36" t="str">
        <f>IF($A263="","",ROUND(SUMIFS(전표!$F$7:$F$282,전표!$A$7:$A$282,$A263)-SUMIFS(전표!$G$7:$G$282,전표!$A$7:$A$282,$A263),0))</f>
        <v/>
      </c>
      <c r="Q263" s="10">
        <f t="shared" si="12"/>
        <v>0</v>
      </c>
      <c r="R263" t="str">
        <f t="shared" si="11"/>
        <v/>
      </c>
    </row>
    <row r="264" spans="1:18" ht="20" customHeight="1">
      <c r="A264" s="29"/>
      <c r="B264" s="31"/>
      <c r="C264" s="26"/>
      <c r="D264" s="33"/>
      <c r="E264" s="26"/>
      <c r="F264" s="27"/>
      <c r="G264" s="27"/>
      <c r="H264" s="27"/>
      <c r="I264" s="33"/>
      <c r="J264" s="33"/>
      <c r="K264" s="34" t="str">
        <f t="shared" si="13"/>
        <v/>
      </c>
      <c r="L264" s="35" t="str">
        <f>IF($E264="","",IFERROR(INDEX(계정과목!$B$6:$B$58,MATCH($E264,계정과목!$A$6:$A$58,0)),"미등록"))</f>
        <v/>
      </c>
      <c r="M264" s="34" t="str">
        <f>IF($E264="","",IFERROR(INDEX(계정과목!$C$6:$C$58,MATCH($E264,계정과목!$A$6:$A$58,0)),""))</f>
        <v/>
      </c>
      <c r="N264" s="34" t="str">
        <f>IF($E264="","",IFERROR(INDEX(계정과목!$D$6:$D$58,MATCH($E264,계정과목!$A$6:$A$58,0)),""))</f>
        <v/>
      </c>
      <c r="O264" s="34" t="str">
        <f>IF($E264="","",IF(COUNTIF(계정과목!$A$6:$A$58,$E264)=0,"미등록","정상"))</f>
        <v/>
      </c>
      <c r="P264" s="36" t="str">
        <f>IF($A264="","",ROUND(SUMIFS(전표!$F$7:$F$282,전표!$A$7:$A$282,$A264)-SUMIFS(전표!$G$7:$G$282,전표!$A$7:$A$282,$A264),0))</f>
        <v/>
      </c>
      <c r="Q264" s="10">
        <f t="shared" si="12"/>
        <v>0</v>
      </c>
      <c r="R264" t="str">
        <f t="shared" ref="R264:R282" si="14">IF($A264="","",IF($A264=$A263,N($R263),1-N($R263)))</f>
        <v/>
      </c>
    </row>
    <row r="265" spans="1:18" ht="20" customHeight="1">
      <c r="A265" s="29"/>
      <c r="B265" s="31"/>
      <c r="C265" s="26"/>
      <c r="D265" s="33"/>
      <c r="E265" s="26"/>
      <c r="F265" s="27"/>
      <c r="G265" s="27"/>
      <c r="H265" s="27"/>
      <c r="I265" s="33"/>
      <c r="J265" s="33"/>
      <c r="K265" s="34" t="str">
        <f t="shared" si="13"/>
        <v/>
      </c>
      <c r="L265" s="35" t="str">
        <f>IF($E265="","",IFERROR(INDEX(계정과목!$B$6:$B$58,MATCH($E265,계정과목!$A$6:$A$58,0)),"미등록"))</f>
        <v/>
      </c>
      <c r="M265" s="34" t="str">
        <f>IF($E265="","",IFERROR(INDEX(계정과목!$C$6:$C$58,MATCH($E265,계정과목!$A$6:$A$58,0)),""))</f>
        <v/>
      </c>
      <c r="N265" s="34" t="str">
        <f>IF($E265="","",IFERROR(INDEX(계정과목!$D$6:$D$58,MATCH($E265,계정과목!$A$6:$A$58,0)),""))</f>
        <v/>
      </c>
      <c r="O265" s="34" t="str">
        <f>IF($E265="","",IF(COUNTIF(계정과목!$A$6:$A$58,$E265)=0,"미등록","정상"))</f>
        <v/>
      </c>
      <c r="P265" s="36" t="str">
        <f>IF($A265="","",ROUND(SUMIFS(전표!$F$7:$F$282,전표!$A$7:$A$282,$A265)-SUMIFS(전표!$G$7:$G$282,전표!$A$7:$A$282,$A265),0))</f>
        <v/>
      </c>
      <c r="Q265" s="10">
        <f t="shared" si="12"/>
        <v>0</v>
      </c>
      <c r="R265" t="str">
        <f t="shared" si="14"/>
        <v/>
      </c>
    </row>
    <row r="266" spans="1:18" ht="20" customHeight="1">
      <c r="A266" s="29"/>
      <c r="B266" s="31"/>
      <c r="C266" s="26"/>
      <c r="D266" s="33"/>
      <c r="E266" s="26"/>
      <c r="F266" s="27"/>
      <c r="G266" s="27"/>
      <c r="H266" s="27"/>
      <c r="I266" s="33"/>
      <c r="J266" s="33"/>
      <c r="K266" s="34" t="str">
        <f t="shared" si="13"/>
        <v/>
      </c>
      <c r="L266" s="35" t="str">
        <f>IF($E266="","",IFERROR(INDEX(계정과목!$B$6:$B$58,MATCH($E266,계정과목!$A$6:$A$58,0)),"미등록"))</f>
        <v/>
      </c>
      <c r="M266" s="34" t="str">
        <f>IF($E266="","",IFERROR(INDEX(계정과목!$C$6:$C$58,MATCH($E266,계정과목!$A$6:$A$58,0)),""))</f>
        <v/>
      </c>
      <c r="N266" s="34" t="str">
        <f>IF($E266="","",IFERROR(INDEX(계정과목!$D$6:$D$58,MATCH($E266,계정과목!$A$6:$A$58,0)),""))</f>
        <v/>
      </c>
      <c r="O266" s="34" t="str">
        <f>IF($E266="","",IF(COUNTIF(계정과목!$A$6:$A$58,$E266)=0,"미등록","정상"))</f>
        <v/>
      </c>
      <c r="P266" s="36" t="str">
        <f>IF($A266="","",ROUND(SUMIFS(전표!$F$7:$F$282,전표!$A$7:$A$282,$A266)-SUMIFS(전표!$G$7:$G$282,전표!$A$7:$A$282,$A266),0))</f>
        <v/>
      </c>
      <c r="Q266" s="10">
        <f t="shared" si="12"/>
        <v>0</v>
      </c>
      <c r="R266" t="str">
        <f t="shared" si="14"/>
        <v/>
      </c>
    </row>
    <row r="267" spans="1:18" ht="20" customHeight="1">
      <c r="A267" s="29"/>
      <c r="B267" s="31"/>
      <c r="C267" s="26"/>
      <c r="D267" s="33"/>
      <c r="E267" s="26"/>
      <c r="F267" s="27"/>
      <c r="G267" s="27"/>
      <c r="H267" s="27"/>
      <c r="I267" s="33"/>
      <c r="J267" s="33"/>
      <c r="K267" s="34" t="str">
        <f t="shared" si="13"/>
        <v/>
      </c>
      <c r="L267" s="35" t="str">
        <f>IF($E267="","",IFERROR(INDEX(계정과목!$B$6:$B$58,MATCH($E267,계정과목!$A$6:$A$58,0)),"미등록"))</f>
        <v/>
      </c>
      <c r="M267" s="34" t="str">
        <f>IF($E267="","",IFERROR(INDEX(계정과목!$C$6:$C$58,MATCH($E267,계정과목!$A$6:$A$58,0)),""))</f>
        <v/>
      </c>
      <c r="N267" s="34" t="str">
        <f>IF($E267="","",IFERROR(INDEX(계정과목!$D$6:$D$58,MATCH($E267,계정과목!$A$6:$A$58,0)),""))</f>
        <v/>
      </c>
      <c r="O267" s="34" t="str">
        <f>IF($E267="","",IF(COUNTIF(계정과목!$A$6:$A$58,$E267)=0,"미등록","정상"))</f>
        <v/>
      </c>
      <c r="P267" s="36" t="str">
        <f>IF($A267="","",ROUND(SUMIFS(전표!$F$7:$F$282,전표!$A$7:$A$282,$A267)-SUMIFS(전표!$G$7:$G$282,전표!$A$7:$A$282,$A267),0))</f>
        <v/>
      </c>
      <c r="Q267" s="10">
        <f t="shared" si="12"/>
        <v>0</v>
      </c>
      <c r="R267" t="str">
        <f t="shared" si="14"/>
        <v/>
      </c>
    </row>
    <row r="268" spans="1:18" ht="20" customHeight="1">
      <c r="A268" s="29"/>
      <c r="B268" s="31"/>
      <c r="C268" s="26"/>
      <c r="D268" s="33"/>
      <c r="E268" s="26"/>
      <c r="F268" s="27"/>
      <c r="G268" s="27"/>
      <c r="H268" s="27"/>
      <c r="I268" s="33"/>
      <c r="J268" s="33"/>
      <c r="K268" s="34" t="str">
        <f t="shared" si="13"/>
        <v/>
      </c>
      <c r="L268" s="35" t="str">
        <f>IF($E268="","",IFERROR(INDEX(계정과목!$B$6:$B$58,MATCH($E268,계정과목!$A$6:$A$58,0)),"미등록"))</f>
        <v/>
      </c>
      <c r="M268" s="34" t="str">
        <f>IF($E268="","",IFERROR(INDEX(계정과목!$C$6:$C$58,MATCH($E268,계정과목!$A$6:$A$58,0)),""))</f>
        <v/>
      </c>
      <c r="N268" s="34" t="str">
        <f>IF($E268="","",IFERROR(INDEX(계정과목!$D$6:$D$58,MATCH($E268,계정과목!$A$6:$A$58,0)),""))</f>
        <v/>
      </c>
      <c r="O268" s="34" t="str">
        <f>IF($E268="","",IF(COUNTIF(계정과목!$A$6:$A$58,$E268)=0,"미등록","정상"))</f>
        <v/>
      </c>
      <c r="P268" s="36" t="str">
        <f>IF($A268="","",ROUND(SUMIFS(전표!$F$7:$F$282,전표!$A$7:$A$282,$A268)-SUMIFS(전표!$G$7:$G$282,전표!$A$7:$A$282,$A268),0))</f>
        <v/>
      </c>
      <c r="Q268" s="10">
        <f t="shared" si="12"/>
        <v>0</v>
      </c>
      <c r="R268" t="str">
        <f t="shared" si="14"/>
        <v/>
      </c>
    </row>
    <row r="269" spans="1:18" ht="20" customHeight="1">
      <c r="A269" s="29"/>
      <c r="B269" s="31"/>
      <c r="C269" s="26"/>
      <c r="D269" s="33"/>
      <c r="E269" s="26"/>
      <c r="F269" s="27"/>
      <c r="G269" s="27"/>
      <c r="H269" s="27"/>
      <c r="I269" s="33"/>
      <c r="J269" s="33"/>
      <c r="K269" s="34" t="str">
        <f t="shared" si="13"/>
        <v/>
      </c>
      <c r="L269" s="35" t="str">
        <f>IF($E269="","",IFERROR(INDEX(계정과목!$B$6:$B$58,MATCH($E269,계정과목!$A$6:$A$58,0)),"미등록"))</f>
        <v/>
      </c>
      <c r="M269" s="34" t="str">
        <f>IF($E269="","",IFERROR(INDEX(계정과목!$C$6:$C$58,MATCH($E269,계정과목!$A$6:$A$58,0)),""))</f>
        <v/>
      </c>
      <c r="N269" s="34" t="str">
        <f>IF($E269="","",IFERROR(INDEX(계정과목!$D$6:$D$58,MATCH($E269,계정과목!$A$6:$A$58,0)),""))</f>
        <v/>
      </c>
      <c r="O269" s="34" t="str">
        <f>IF($E269="","",IF(COUNTIF(계정과목!$A$6:$A$58,$E269)=0,"미등록","정상"))</f>
        <v/>
      </c>
      <c r="P269" s="36" t="str">
        <f>IF($A269="","",ROUND(SUMIFS(전표!$F$7:$F$282,전표!$A$7:$A$282,$A269)-SUMIFS(전표!$G$7:$G$282,전표!$A$7:$A$282,$A269),0))</f>
        <v/>
      </c>
      <c r="Q269" s="10">
        <f t="shared" si="12"/>
        <v>0</v>
      </c>
      <c r="R269" t="str">
        <f t="shared" si="14"/>
        <v/>
      </c>
    </row>
    <row r="270" spans="1:18" ht="20" customHeight="1">
      <c r="A270" s="29"/>
      <c r="B270" s="31"/>
      <c r="C270" s="26"/>
      <c r="D270" s="33"/>
      <c r="E270" s="26"/>
      <c r="F270" s="27"/>
      <c r="G270" s="27"/>
      <c r="H270" s="27"/>
      <c r="I270" s="33"/>
      <c r="J270" s="33"/>
      <c r="K270" s="34" t="str">
        <f t="shared" si="13"/>
        <v/>
      </c>
      <c r="L270" s="35" t="str">
        <f>IF($E270="","",IFERROR(INDEX(계정과목!$B$6:$B$58,MATCH($E270,계정과목!$A$6:$A$58,0)),"미등록"))</f>
        <v/>
      </c>
      <c r="M270" s="34" t="str">
        <f>IF($E270="","",IFERROR(INDEX(계정과목!$C$6:$C$58,MATCH($E270,계정과목!$A$6:$A$58,0)),""))</f>
        <v/>
      </c>
      <c r="N270" s="34" t="str">
        <f>IF($E270="","",IFERROR(INDEX(계정과목!$D$6:$D$58,MATCH($E270,계정과목!$A$6:$A$58,0)),""))</f>
        <v/>
      </c>
      <c r="O270" s="34" t="str">
        <f>IF($E270="","",IF(COUNTIF(계정과목!$A$6:$A$58,$E270)=0,"미등록","정상"))</f>
        <v/>
      </c>
      <c r="P270" s="36" t="str">
        <f>IF($A270="","",ROUND(SUMIFS(전표!$F$7:$F$282,전표!$A$7:$A$282,$A270)-SUMIFS(전표!$G$7:$G$282,전표!$A$7:$A$282,$A270),0))</f>
        <v/>
      </c>
      <c r="Q270" s="10">
        <f t="shared" si="12"/>
        <v>0</v>
      </c>
      <c r="R270" t="str">
        <f t="shared" si="14"/>
        <v/>
      </c>
    </row>
    <row r="271" spans="1:18" ht="20" customHeight="1">
      <c r="A271" s="29"/>
      <c r="B271" s="31"/>
      <c r="C271" s="26"/>
      <c r="D271" s="33"/>
      <c r="E271" s="26"/>
      <c r="F271" s="27"/>
      <c r="G271" s="27"/>
      <c r="H271" s="27"/>
      <c r="I271" s="33"/>
      <c r="J271" s="33"/>
      <c r="K271" s="34" t="str">
        <f t="shared" si="13"/>
        <v/>
      </c>
      <c r="L271" s="35" t="str">
        <f>IF($E271="","",IFERROR(INDEX(계정과목!$B$6:$B$58,MATCH($E271,계정과목!$A$6:$A$58,0)),"미등록"))</f>
        <v/>
      </c>
      <c r="M271" s="34" t="str">
        <f>IF($E271="","",IFERROR(INDEX(계정과목!$C$6:$C$58,MATCH($E271,계정과목!$A$6:$A$58,0)),""))</f>
        <v/>
      </c>
      <c r="N271" s="34" t="str">
        <f>IF($E271="","",IFERROR(INDEX(계정과목!$D$6:$D$58,MATCH($E271,계정과목!$A$6:$A$58,0)),""))</f>
        <v/>
      </c>
      <c r="O271" s="34" t="str">
        <f>IF($E271="","",IF(COUNTIF(계정과목!$A$6:$A$58,$E271)=0,"미등록","정상"))</f>
        <v/>
      </c>
      <c r="P271" s="36" t="str">
        <f>IF($A271="","",ROUND(SUMIFS(전표!$F$7:$F$282,전표!$A$7:$A$282,$A271)-SUMIFS(전표!$G$7:$G$282,전표!$A$7:$A$282,$A271),0))</f>
        <v/>
      </c>
      <c r="Q271" s="10">
        <f t="shared" si="12"/>
        <v>0</v>
      </c>
      <c r="R271" t="str">
        <f t="shared" si="14"/>
        <v/>
      </c>
    </row>
    <row r="272" spans="1:18" ht="20" customHeight="1">
      <c r="A272" s="29"/>
      <c r="B272" s="31"/>
      <c r="C272" s="26"/>
      <c r="D272" s="33"/>
      <c r="E272" s="26"/>
      <c r="F272" s="27"/>
      <c r="G272" s="27"/>
      <c r="H272" s="27"/>
      <c r="I272" s="33"/>
      <c r="J272" s="33"/>
      <c r="K272" s="34" t="str">
        <f t="shared" si="13"/>
        <v/>
      </c>
      <c r="L272" s="35" t="str">
        <f>IF($E272="","",IFERROR(INDEX(계정과목!$B$6:$B$58,MATCH($E272,계정과목!$A$6:$A$58,0)),"미등록"))</f>
        <v/>
      </c>
      <c r="M272" s="34" t="str">
        <f>IF($E272="","",IFERROR(INDEX(계정과목!$C$6:$C$58,MATCH($E272,계정과목!$A$6:$A$58,0)),""))</f>
        <v/>
      </c>
      <c r="N272" s="34" t="str">
        <f>IF($E272="","",IFERROR(INDEX(계정과목!$D$6:$D$58,MATCH($E272,계정과목!$A$6:$A$58,0)),""))</f>
        <v/>
      </c>
      <c r="O272" s="34" t="str">
        <f>IF($E272="","",IF(COUNTIF(계정과목!$A$6:$A$58,$E272)=0,"미등록","정상"))</f>
        <v/>
      </c>
      <c r="P272" s="36" t="str">
        <f>IF($A272="","",ROUND(SUMIFS(전표!$F$7:$F$282,전표!$A$7:$A$282,$A272)-SUMIFS(전표!$G$7:$G$282,전표!$A$7:$A$282,$A272),0))</f>
        <v/>
      </c>
      <c r="Q272" s="10">
        <f t="shared" si="12"/>
        <v>0</v>
      </c>
      <c r="R272" t="str">
        <f t="shared" si="14"/>
        <v/>
      </c>
    </row>
    <row r="273" spans="1:18" ht="20" customHeight="1">
      <c r="A273" s="29"/>
      <c r="B273" s="31"/>
      <c r="C273" s="26"/>
      <c r="D273" s="33"/>
      <c r="E273" s="26"/>
      <c r="F273" s="27"/>
      <c r="G273" s="27"/>
      <c r="H273" s="27"/>
      <c r="I273" s="33"/>
      <c r="J273" s="33"/>
      <c r="K273" s="34" t="str">
        <f t="shared" si="13"/>
        <v/>
      </c>
      <c r="L273" s="35" t="str">
        <f>IF($E273="","",IFERROR(INDEX(계정과목!$B$6:$B$58,MATCH($E273,계정과목!$A$6:$A$58,0)),"미등록"))</f>
        <v/>
      </c>
      <c r="M273" s="34" t="str">
        <f>IF($E273="","",IFERROR(INDEX(계정과목!$C$6:$C$58,MATCH($E273,계정과목!$A$6:$A$58,0)),""))</f>
        <v/>
      </c>
      <c r="N273" s="34" t="str">
        <f>IF($E273="","",IFERROR(INDEX(계정과목!$D$6:$D$58,MATCH($E273,계정과목!$A$6:$A$58,0)),""))</f>
        <v/>
      </c>
      <c r="O273" s="34" t="str">
        <f>IF($E273="","",IF(COUNTIF(계정과목!$A$6:$A$58,$E273)=0,"미등록","정상"))</f>
        <v/>
      </c>
      <c r="P273" s="36" t="str">
        <f>IF($A273="","",ROUND(SUMIFS(전표!$F$7:$F$282,전표!$A$7:$A$282,$A273)-SUMIFS(전표!$G$7:$G$282,전표!$A$7:$A$282,$A273),0))</f>
        <v/>
      </c>
      <c r="Q273" s="10">
        <f t="shared" si="12"/>
        <v>0</v>
      </c>
      <c r="R273" t="str">
        <f t="shared" si="14"/>
        <v/>
      </c>
    </row>
    <row r="274" spans="1:18" ht="20" customHeight="1">
      <c r="A274" s="29"/>
      <c r="B274" s="31"/>
      <c r="C274" s="26"/>
      <c r="D274" s="33"/>
      <c r="E274" s="26"/>
      <c r="F274" s="27"/>
      <c r="G274" s="27"/>
      <c r="H274" s="27"/>
      <c r="I274" s="33"/>
      <c r="J274" s="33"/>
      <c r="K274" s="34" t="str">
        <f t="shared" si="13"/>
        <v/>
      </c>
      <c r="L274" s="35" t="str">
        <f>IF($E274="","",IFERROR(INDEX(계정과목!$B$6:$B$58,MATCH($E274,계정과목!$A$6:$A$58,0)),"미등록"))</f>
        <v/>
      </c>
      <c r="M274" s="34" t="str">
        <f>IF($E274="","",IFERROR(INDEX(계정과목!$C$6:$C$58,MATCH($E274,계정과목!$A$6:$A$58,0)),""))</f>
        <v/>
      </c>
      <c r="N274" s="34" t="str">
        <f>IF($E274="","",IFERROR(INDEX(계정과목!$D$6:$D$58,MATCH($E274,계정과목!$A$6:$A$58,0)),""))</f>
        <v/>
      </c>
      <c r="O274" s="34" t="str">
        <f>IF($E274="","",IF(COUNTIF(계정과목!$A$6:$A$58,$E274)=0,"미등록","정상"))</f>
        <v/>
      </c>
      <c r="P274" s="36" t="str">
        <f>IF($A274="","",ROUND(SUMIFS(전표!$F$7:$F$282,전표!$A$7:$A$282,$A274)-SUMIFS(전표!$G$7:$G$282,전표!$A$7:$A$282,$A274),0))</f>
        <v/>
      </c>
      <c r="Q274" s="10">
        <f t="shared" si="12"/>
        <v>0</v>
      </c>
      <c r="R274" t="str">
        <f t="shared" si="14"/>
        <v/>
      </c>
    </row>
    <row r="275" spans="1:18" ht="20" customHeight="1">
      <c r="A275" s="29"/>
      <c r="B275" s="31"/>
      <c r="C275" s="26"/>
      <c r="D275" s="33"/>
      <c r="E275" s="26"/>
      <c r="F275" s="27"/>
      <c r="G275" s="27"/>
      <c r="H275" s="27"/>
      <c r="I275" s="33"/>
      <c r="J275" s="33"/>
      <c r="K275" s="34" t="str">
        <f t="shared" si="13"/>
        <v/>
      </c>
      <c r="L275" s="35" t="str">
        <f>IF($E275="","",IFERROR(INDEX(계정과목!$B$6:$B$58,MATCH($E275,계정과목!$A$6:$A$58,0)),"미등록"))</f>
        <v/>
      </c>
      <c r="M275" s="34" t="str">
        <f>IF($E275="","",IFERROR(INDEX(계정과목!$C$6:$C$58,MATCH($E275,계정과목!$A$6:$A$58,0)),""))</f>
        <v/>
      </c>
      <c r="N275" s="34" t="str">
        <f>IF($E275="","",IFERROR(INDEX(계정과목!$D$6:$D$58,MATCH($E275,계정과목!$A$6:$A$58,0)),""))</f>
        <v/>
      </c>
      <c r="O275" s="34" t="str">
        <f>IF($E275="","",IF(COUNTIF(계정과목!$A$6:$A$58,$E275)=0,"미등록","정상"))</f>
        <v/>
      </c>
      <c r="P275" s="36" t="str">
        <f>IF($A275="","",ROUND(SUMIFS(전표!$F$7:$F$282,전표!$A$7:$A$282,$A275)-SUMIFS(전표!$G$7:$G$282,전표!$A$7:$A$282,$A275),0))</f>
        <v/>
      </c>
      <c r="Q275" s="10">
        <f t="shared" si="12"/>
        <v>0</v>
      </c>
      <c r="R275" t="str">
        <f t="shared" si="14"/>
        <v/>
      </c>
    </row>
    <row r="276" spans="1:18" ht="20" customHeight="1">
      <c r="A276" s="29"/>
      <c r="B276" s="31"/>
      <c r="C276" s="26"/>
      <c r="D276" s="33"/>
      <c r="E276" s="26"/>
      <c r="F276" s="27"/>
      <c r="G276" s="27"/>
      <c r="H276" s="27"/>
      <c r="I276" s="33"/>
      <c r="J276" s="33"/>
      <c r="K276" s="34" t="str">
        <f t="shared" si="13"/>
        <v/>
      </c>
      <c r="L276" s="35" t="str">
        <f>IF($E276="","",IFERROR(INDEX(계정과목!$B$6:$B$58,MATCH($E276,계정과목!$A$6:$A$58,0)),"미등록"))</f>
        <v/>
      </c>
      <c r="M276" s="34" t="str">
        <f>IF($E276="","",IFERROR(INDEX(계정과목!$C$6:$C$58,MATCH($E276,계정과목!$A$6:$A$58,0)),""))</f>
        <v/>
      </c>
      <c r="N276" s="34" t="str">
        <f>IF($E276="","",IFERROR(INDEX(계정과목!$D$6:$D$58,MATCH($E276,계정과목!$A$6:$A$58,0)),""))</f>
        <v/>
      </c>
      <c r="O276" s="34" t="str">
        <f>IF($E276="","",IF(COUNTIF(계정과목!$A$6:$A$58,$E276)=0,"미등록","정상"))</f>
        <v/>
      </c>
      <c r="P276" s="36" t="str">
        <f>IF($A276="","",ROUND(SUMIFS(전표!$F$7:$F$282,전표!$A$7:$A$282,$A276)-SUMIFS(전표!$G$7:$G$282,전표!$A$7:$A$282,$A276),0))</f>
        <v/>
      </c>
      <c r="Q276" s="10">
        <f t="shared" si="12"/>
        <v>0</v>
      </c>
      <c r="R276" t="str">
        <f t="shared" si="14"/>
        <v/>
      </c>
    </row>
    <row r="277" spans="1:18" ht="20" customHeight="1">
      <c r="A277" s="29"/>
      <c r="B277" s="31"/>
      <c r="C277" s="26"/>
      <c r="D277" s="33"/>
      <c r="E277" s="26"/>
      <c r="F277" s="27"/>
      <c r="G277" s="27"/>
      <c r="H277" s="27"/>
      <c r="I277" s="33"/>
      <c r="J277" s="33"/>
      <c r="K277" s="34" t="str">
        <f t="shared" si="13"/>
        <v/>
      </c>
      <c r="L277" s="35" t="str">
        <f>IF($E277="","",IFERROR(INDEX(계정과목!$B$6:$B$58,MATCH($E277,계정과목!$A$6:$A$58,0)),"미등록"))</f>
        <v/>
      </c>
      <c r="M277" s="34" t="str">
        <f>IF($E277="","",IFERROR(INDEX(계정과목!$C$6:$C$58,MATCH($E277,계정과목!$A$6:$A$58,0)),""))</f>
        <v/>
      </c>
      <c r="N277" s="34" t="str">
        <f>IF($E277="","",IFERROR(INDEX(계정과목!$D$6:$D$58,MATCH($E277,계정과목!$A$6:$A$58,0)),""))</f>
        <v/>
      </c>
      <c r="O277" s="34" t="str">
        <f>IF($E277="","",IF(COUNTIF(계정과목!$A$6:$A$58,$E277)=0,"미등록","정상"))</f>
        <v/>
      </c>
      <c r="P277" s="36" t="str">
        <f>IF($A277="","",ROUND(SUMIFS(전표!$F$7:$F$282,전표!$A$7:$A$282,$A277)-SUMIFS(전표!$G$7:$G$282,전표!$A$7:$A$282,$A277),0))</f>
        <v/>
      </c>
      <c r="Q277" s="10">
        <f t="shared" si="12"/>
        <v>0</v>
      </c>
      <c r="R277" t="str">
        <f t="shared" si="14"/>
        <v/>
      </c>
    </row>
    <row r="278" spans="1:18" ht="20" customHeight="1">
      <c r="A278" s="29"/>
      <c r="B278" s="31"/>
      <c r="C278" s="26"/>
      <c r="D278" s="33"/>
      <c r="E278" s="26"/>
      <c r="F278" s="27"/>
      <c r="G278" s="27"/>
      <c r="H278" s="27"/>
      <c r="I278" s="33"/>
      <c r="J278" s="33"/>
      <c r="K278" s="34" t="str">
        <f t="shared" si="13"/>
        <v/>
      </c>
      <c r="L278" s="35" t="str">
        <f>IF($E278="","",IFERROR(INDEX(계정과목!$B$6:$B$58,MATCH($E278,계정과목!$A$6:$A$58,0)),"미등록"))</f>
        <v/>
      </c>
      <c r="M278" s="34" t="str">
        <f>IF($E278="","",IFERROR(INDEX(계정과목!$C$6:$C$58,MATCH($E278,계정과목!$A$6:$A$58,0)),""))</f>
        <v/>
      </c>
      <c r="N278" s="34" t="str">
        <f>IF($E278="","",IFERROR(INDEX(계정과목!$D$6:$D$58,MATCH($E278,계정과목!$A$6:$A$58,0)),""))</f>
        <v/>
      </c>
      <c r="O278" s="34" t="str">
        <f>IF($E278="","",IF(COUNTIF(계정과목!$A$6:$A$58,$E278)=0,"미등록","정상"))</f>
        <v/>
      </c>
      <c r="P278" s="36" t="str">
        <f>IF($A278="","",ROUND(SUMIFS(전표!$F$7:$F$282,전표!$A$7:$A$282,$A278)-SUMIFS(전표!$G$7:$G$282,전표!$A$7:$A$282,$A278),0))</f>
        <v/>
      </c>
      <c r="Q278" s="10">
        <f t="shared" si="12"/>
        <v>0</v>
      </c>
      <c r="R278" t="str">
        <f t="shared" si="14"/>
        <v/>
      </c>
    </row>
    <row r="279" spans="1:18" ht="20" customHeight="1">
      <c r="A279" s="29"/>
      <c r="B279" s="31"/>
      <c r="C279" s="26"/>
      <c r="D279" s="33"/>
      <c r="E279" s="26"/>
      <c r="F279" s="27"/>
      <c r="G279" s="27"/>
      <c r="H279" s="27"/>
      <c r="I279" s="33"/>
      <c r="J279" s="33"/>
      <c r="K279" s="34" t="str">
        <f t="shared" si="13"/>
        <v/>
      </c>
      <c r="L279" s="35" t="str">
        <f>IF($E279="","",IFERROR(INDEX(계정과목!$B$6:$B$58,MATCH($E279,계정과목!$A$6:$A$58,0)),"미등록"))</f>
        <v/>
      </c>
      <c r="M279" s="34" t="str">
        <f>IF($E279="","",IFERROR(INDEX(계정과목!$C$6:$C$58,MATCH($E279,계정과목!$A$6:$A$58,0)),""))</f>
        <v/>
      </c>
      <c r="N279" s="34" t="str">
        <f>IF($E279="","",IFERROR(INDEX(계정과목!$D$6:$D$58,MATCH($E279,계정과목!$A$6:$A$58,0)),""))</f>
        <v/>
      </c>
      <c r="O279" s="34" t="str">
        <f>IF($E279="","",IF(COUNTIF(계정과목!$A$6:$A$58,$E279)=0,"미등록","정상"))</f>
        <v/>
      </c>
      <c r="P279" s="36" t="str">
        <f>IF($A279="","",ROUND(SUMIFS(전표!$F$7:$F$282,전표!$A$7:$A$282,$A279)-SUMIFS(전표!$G$7:$G$282,전표!$A$7:$A$282,$A279),0))</f>
        <v/>
      </c>
      <c r="Q279" s="10">
        <f t="shared" si="12"/>
        <v>0</v>
      </c>
      <c r="R279" t="str">
        <f t="shared" si="14"/>
        <v/>
      </c>
    </row>
    <row r="280" spans="1:18" ht="20" customHeight="1">
      <c r="A280" s="29"/>
      <c r="B280" s="31"/>
      <c r="C280" s="26"/>
      <c r="D280" s="33"/>
      <c r="E280" s="26"/>
      <c r="F280" s="27"/>
      <c r="G280" s="27"/>
      <c r="H280" s="27"/>
      <c r="I280" s="33"/>
      <c r="J280" s="33"/>
      <c r="K280" s="34" t="str">
        <f t="shared" si="13"/>
        <v/>
      </c>
      <c r="L280" s="35" t="str">
        <f>IF($E280="","",IFERROR(INDEX(계정과목!$B$6:$B$58,MATCH($E280,계정과목!$A$6:$A$58,0)),"미등록"))</f>
        <v/>
      </c>
      <c r="M280" s="34" t="str">
        <f>IF($E280="","",IFERROR(INDEX(계정과목!$C$6:$C$58,MATCH($E280,계정과목!$A$6:$A$58,0)),""))</f>
        <v/>
      </c>
      <c r="N280" s="34" t="str">
        <f>IF($E280="","",IFERROR(INDEX(계정과목!$D$6:$D$58,MATCH($E280,계정과목!$A$6:$A$58,0)),""))</f>
        <v/>
      </c>
      <c r="O280" s="34" t="str">
        <f>IF($E280="","",IF(COUNTIF(계정과목!$A$6:$A$58,$E280)=0,"미등록","정상"))</f>
        <v/>
      </c>
      <c r="P280" s="36" t="str">
        <f>IF($A280="","",ROUND(SUMIFS(전표!$F$7:$F$282,전표!$A$7:$A$282,$A280)-SUMIFS(전표!$G$7:$G$282,전표!$A$7:$A$282,$A280),0))</f>
        <v/>
      </c>
      <c r="Q280" s="10">
        <f t="shared" si="12"/>
        <v>0</v>
      </c>
      <c r="R280" t="str">
        <f t="shared" si="14"/>
        <v/>
      </c>
    </row>
    <row r="281" spans="1:18" ht="20" customHeight="1">
      <c r="A281" s="29"/>
      <c r="B281" s="31"/>
      <c r="C281" s="26"/>
      <c r="D281" s="33"/>
      <c r="E281" s="26"/>
      <c r="F281" s="27"/>
      <c r="G281" s="27"/>
      <c r="H281" s="27"/>
      <c r="I281" s="33"/>
      <c r="J281" s="33"/>
      <c r="K281" s="34" t="str">
        <f t="shared" si="13"/>
        <v/>
      </c>
      <c r="L281" s="35" t="str">
        <f>IF($E281="","",IFERROR(INDEX(계정과목!$B$6:$B$58,MATCH($E281,계정과목!$A$6:$A$58,0)),"미등록"))</f>
        <v/>
      </c>
      <c r="M281" s="34" t="str">
        <f>IF($E281="","",IFERROR(INDEX(계정과목!$C$6:$C$58,MATCH($E281,계정과목!$A$6:$A$58,0)),""))</f>
        <v/>
      </c>
      <c r="N281" s="34" t="str">
        <f>IF($E281="","",IFERROR(INDEX(계정과목!$D$6:$D$58,MATCH($E281,계정과목!$A$6:$A$58,0)),""))</f>
        <v/>
      </c>
      <c r="O281" s="34" t="str">
        <f>IF($E281="","",IF(COUNTIF(계정과목!$A$6:$A$58,$E281)=0,"미등록","정상"))</f>
        <v/>
      </c>
      <c r="P281" s="36" t="str">
        <f>IF($A281="","",ROUND(SUMIFS(전표!$F$7:$F$282,전표!$A$7:$A$282,$A281)-SUMIFS(전표!$G$7:$G$282,전표!$A$7:$A$282,$A281),0))</f>
        <v/>
      </c>
      <c r="Q281" s="10">
        <f t="shared" si="12"/>
        <v>0</v>
      </c>
      <c r="R281" t="str">
        <f t="shared" si="14"/>
        <v/>
      </c>
    </row>
    <row r="282" spans="1:18" ht="20" customHeight="1">
      <c r="A282" s="29"/>
      <c r="B282" s="31"/>
      <c r="C282" s="26"/>
      <c r="D282" s="33"/>
      <c r="E282" s="26"/>
      <c r="F282" s="27"/>
      <c r="G282" s="27"/>
      <c r="H282" s="27"/>
      <c r="I282" s="33"/>
      <c r="J282" s="33"/>
      <c r="K282" s="34" t="str">
        <f t="shared" si="13"/>
        <v/>
      </c>
      <c r="L282" s="35" t="str">
        <f>IF($E282="","",IFERROR(INDEX(계정과목!$B$6:$B$58,MATCH($E282,계정과목!$A$6:$A$58,0)),"미등록"))</f>
        <v/>
      </c>
      <c r="M282" s="34" t="str">
        <f>IF($E282="","",IFERROR(INDEX(계정과목!$C$6:$C$58,MATCH($E282,계정과목!$A$6:$A$58,0)),""))</f>
        <v/>
      </c>
      <c r="N282" s="34" t="str">
        <f>IF($E282="","",IFERROR(INDEX(계정과목!$D$6:$D$58,MATCH($E282,계정과목!$A$6:$A$58,0)),""))</f>
        <v/>
      </c>
      <c r="O282" s="34" t="str">
        <f>IF($E282="","",IF(COUNTIF(계정과목!$A$6:$A$58,$E282)=0,"미등록","정상"))</f>
        <v/>
      </c>
      <c r="P282" s="36" t="str">
        <f>IF($A282="","",ROUND(SUMIFS(전표!$F$7:$F$282,전표!$A$7:$A$282,$A282)-SUMIFS(전표!$G$7:$G$282,전표!$A$7:$A$282,$A282),0))</f>
        <v/>
      </c>
      <c r="Q282" s="10">
        <f t="shared" si="12"/>
        <v>0</v>
      </c>
      <c r="R282" t="str">
        <f t="shared" si="14"/>
        <v/>
      </c>
    </row>
  </sheetData>
  <phoneticPr fontId="9" type="noConversion"/>
  <conditionalFormatting sqref="A7:P282">
    <cfRule type="expression" dxfId="4" priority="1">
      <formula>$R7=1</formula>
    </cfRule>
    <cfRule type="expression" dxfId="3" priority="2">
      <formula>AND($A7&lt;&gt;"", $A7&lt;&gt;$A6)</formula>
    </cfRule>
  </conditionalFormatting>
  <conditionalFormatting sqref="P7:P282">
    <cfRule type="expression" dxfId="2" priority="3">
      <formula>AND($A7&lt;&gt;"", ROUND($P7,0)&lt;&gt;0)</formula>
    </cfRule>
  </conditionalFormatting>
  <dataValidations count="1">
    <dataValidation type="list" sqref="C7:C282" xr:uid="{00000000-0002-0000-0100-000000000000}">
      <formula1>"세금계산서,계산서,현금영수증,카드전표,무증빙,기타"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계정과목!$A$6:$A$58</xm:f>
          </x14:formula1>
          <xm:sqref>E7:E282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2:D58"/>
  <sheetViews>
    <sheetView showGridLines="0" tabSelected="1" workbookViewId="0">
      <pane ySplit="5" topLeftCell="A35" activePane="bottomLeft" state="frozen"/>
      <selection pane="bottomLeft" activeCell="B56" sqref="B56"/>
    </sheetView>
  </sheetViews>
  <sheetFormatPr defaultRowHeight="13.5"/>
  <cols>
    <col min="1" max="1" width="12" customWidth="1"/>
    <col min="2" max="2" width="26" customWidth="1"/>
    <col min="3" max="3" width="10" customWidth="1"/>
    <col min="4" max="4" width="13" customWidth="1"/>
  </cols>
  <sheetData>
    <row r="2" spans="1:4" ht="17.649999999999999">
      <c r="A2" s="1" t="s">
        <v>45</v>
      </c>
    </row>
    <row r="3" spans="1:4">
      <c r="A3" s="2" t="s">
        <v>46</v>
      </c>
    </row>
    <row r="5" spans="1:4">
      <c r="A5" s="5" t="s">
        <v>21</v>
      </c>
      <c r="B5" s="5" t="s">
        <v>22</v>
      </c>
      <c r="C5" s="5" t="s">
        <v>23</v>
      </c>
      <c r="D5" s="5" t="s">
        <v>39</v>
      </c>
    </row>
    <row r="6" spans="1:4">
      <c r="A6" s="22">
        <v>101</v>
      </c>
      <c r="B6" s="6" t="s">
        <v>47</v>
      </c>
      <c r="C6" s="7" t="s">
        <v>48</v>
      </c>
      <c r="D6" s="7" t="s">
        <v>49</v>
      </c>
    </row>
    <row r="7" spans="1:4">
      <c r="A7" s="22">
        <v>102</v>
      </c>
      <c r="B7" s="6" t="s">
        <v>50</v>
      </c>
      <c r="C7" s="7" t="s">
        <v>48</v>
      </c>
      <c r="D7" s="7" t="s">
        <v>49</v>
      </c>
    </row>
    <row r="8" spans="1:4">
      <c r="A8" s="22">
        <v>103</v>
      </c>
      <c r="B8" s="6" t="s">
        <v>51</v>
      </c>
      <c r="C8" s="7" t="s">
        <v>48</v>
      </c>
      <c r="D8" s="7" t="s">
        <v>49</v>
      </c>
    </row>
    <row r="9" spans="1:4" ht="16.899999999999999">
      <c r="A9" s="22">
        <v>104</v>
      </c>
      <c r="B9" s="21" t="s">
        <v>143</v>
      </c>
      <c r="C9" s="7" t="s">
        <v>48</v>
      </c>
      <c r="D9" s="7" t="s">
        <v>49</v>
      </c>
    </row>
    <row r="10" spans="1:4">
      <c r="A10" s="22">
        <v>120</v>
      </c>
      <c r="B10" s="6" t="s">
        <v>52</v>
      </c>
      <c r="C10" s="7" t="s">
        <v>48</v>
      </c>
      <c r="D10" s="7" t="s">
        <v>49</v>
      </c>
    </row>
    <row r="11" spans="1:4">
      <c r="A11" s="22">
        <v>135</v>
      </c>
      <c r="B11" s="6" t="s">
        <v>53</v>
      </c>
      <c r="C11" s="7" t="s">
        <v>48</v>
      </c>
      <c r="D11" s="7" t="s">
        <v>49</v>
      </c>
    </row>
    <row r="12" spans="1:4">
      <c r="A12" s="22">
        <v>141</v>
      </c>
      <c r="B12" s="6" t="s">
        <v>54</v>
      </c>
      <c r="C12" s="7" t="s">
        <v>48</v>
      </c>
      <c r="D12" s="7" t="s">
        <v>49</v>
      </c>
    </row>
    <row r="13" spans="1:4">
      <c r="A13" s="22">
        <v>150</v>
      </c>
      <c r="B13" s="6" t="s">
        <v>55</v>
      </c>
      <c r="C13" s="7" t="s">
        <v>48</v>
      </c>
      <c r="D13" s="7" t="s">
        <v>56</v>
      </c>
    </row>
    <row r="14" spans="1:4">
      <c r="A14" s="22">
        <v>160</v>
      </c>
      <c r="B14" s="6" t="s">
        <v>57</v>
      </c>
      <c r="C14" s="7" t="s">
        <v>48</v>
      </c>
      <c r="D14" s="7" t="s">
        <v>56</v>
      </c>
    </row>
    <row r="15" spans="1:4">
      <c r="A15" s="22">
        <v>165</v>
      </c>
      <c r="B15" s="6" t="s">
        <v>58</v>
      </c>
      <c r="C15" s="7" t="s">
        <v>48</v>
      </c>
      <c r="D15" s="7" t="s">
        <v>56</v>
      </c>
    </row>
    <row r="16" spans="1:4">
      <c r="A16" s="22">
        <v>170</v>
      </c>
      <c r="B16" s="6" t="s">
        <v>59</v>
      </c>
      <c r="C16" s="7" t="s">
        <v>48</v>
      </c>
      <c r="D16" s="7" t="s">
        <v>49</v>
      </c>
    </row>
    <row r="17" spans="1:4">
      <c r="A17" s="22">
        <v>180</v>
      </c>
      <c r="B17" s="6" t="s">
        <v>60</v>
      </c>
      <c r="C17" s="7" t="s">
        <v>48</v>
      </c>
      <c r="D17" s="7" t="s">
        <v>49</v>
      </c>
    </row>
    <row r="18" spans="1:4">
      <c r="A18" s="22">
        <v>190</v>
      </c>
      <c r="B18" s="6" t="s">
        <v>61</v>
      </c>
      <c r="C18" s="7" t="s">
        <v>48</v>
      </c>
      <c r="D18" s="7" t="s">
        <v>56</v>
      </c>
    </row>
    <row r="19" spans="1:4">
      <c r="A19" s="22">
        <v>201</v>
      </c>
      <c r="B19" s="6" t="s">
        <v>62</v>
      </c>
      <c r="C19" s="7" t="s">
        <v>63</v>
      </c>
      <c r="D19" s="7" t="s">
        <v>49</v>
      </c>
    </row>
    <row r="20" spans="1:4">
      <c r="A20" s="22">
        <v>202</v>
      </c>
      <c r="B20" s="6" t="s">
        <v>64</v>
      </c>
      <c r="C20" s="7" t="s">
        <v>63</v>
      </c>
      <c r="D20" s="7" t="s">
        <v>49</v>
      </c>
    </row>
    <row r="21" spans="1:4">
      <c r="A21" s="22">
        <v>203</v>
      </c>
      <c r="B21" s="6" t="s">
        <v>65</v>
      </c>
      <c r="C21" s="7" t="s">
        <v>63</v>
      </c>
      <c r="D21" s="7" t="s">
        <v>49</v>
      </c>
    </row>
    <row r="22" spans="1:4">
      <c r="A22" s="22">
        <v>210</v>
      </c>
      <c r="B22" s="6" t="s">
        <v>66</v>
      </c>
      <c r="C22" s="7" t="s">
        <v>63</v>
      </c>
      <c r="D22" s="7" t="s">
        <v>49</v>
      </c>
    </row>
    <row r="23" spans="1:4">
      <c r="A23" s="22">
        <v>220</v>
      </c>
      <c r="B23" s="6" t="s">
        <v>67</v>
      </c>
      <c r="C23" s="7" t="s">
        <v>63</v>
      </c>
      <c r="D23" s="7" t="s">
        <v>49</v>
      </c>
    </row>
    <row r="24" spans="1:4">
      <c r="A24" s="22">
        <v>230</v>
      </c>
      <c r="B24" s="6" t="s">
        <v>68</v>
      </c>
      <c r="C24" s="7" t="s">
        <v>63</v>
      </c>
      <c r="D24" s="7" t="s">
        <v>49</v>
      </c>
    </row>
    <row r="25" spans="1:4">
      <c r="A25" s="22">
        <v>240</v>
      </c>
      <c r="B25" s="6" t="s">
        <v>69</v>
      </c>
      <c r="C25" s="7" t="s">
        <v>63</v>
      </c>
      <c r="D25" s="7" t="s">
        <v>49</v>
      </c>
    </row>
    <row r="26" spans="1:4">
      <c r="A26" s="22">
        <v>241</v>
      </c>
      <c r="B26" s="6" t="s">
        <v>130</v>
      </c>
      <c r="C26" s="7" t="s">
        <v>131</v>
      </c>
      <c r="D26" s="7" t="s">
        <v>132</v>
      </c>
    </row>
    <row r="27" spans="1:4">
      <c r="A27" s="22">
        <v>250</v>
      </c>
      <c r="B27" s="6" t="s">
        <v>70</v>
      </c>
      <c r="C27" s="7" t="s">
        <v>63</v>
      </c>
      <c r="D27" s="7" t="s">
        <v>49</v>
      </c>
    </row>
    <row r="28" spans="1:4">
      <c r="A28" s="22">
        <v>301</v>
      </c>
      <c r="B28" s="6" t="s">
        <v>71</v>
      </c>
      <c r="C28" s="7" t="s">
        <v>72</v>
      </c>
      <c r="D28" s="7" t="s">
        <v>49</v>
      </c>
    </row>
    <row r="29" spans="1:4">
      <c r="A29" s="22">
        <v>302</v>
      </c>
      <c r="B29" s="6" t="s">
        <v>73</v>
      </c>
      <c r="C29" s="7" t="s">
        <v>72</v>
      </c>
      <c r="D29" s="7" t="s">
        <v>49</v>
      </c>
    </row>
    <row r="30" spans="1:4">
      <c r="A30" s="22">
        <v>310</v>
      </c>
      <c r="B30" s="6" t="s">
        <v>74</v>
      </c>
      <c r="C30" s="7" t="s">
        <v>72</v>
      </c>
      <c r="D30" s="7" t="s">
        <v>49</v>
      </c>
    </row>
    <row r="31" spans="1:4">
      <c r="A31" s="22">
        <v>320</v>
      </c>
      <c r="B31" s="6" t="s">
        <v>12</v>
      </c>
      <c r="C31" s="7" t="s">
        <v>72</v>
      </c>
      <c r="D31" s="7" t="s">
        <v>49</v>
      </c>
    </row>
    <row r="32" spans="1:4">
      <c r="A32" s="22">
        <v>401</v>
      </c>
      <c r="B32" s="6" t="s">
        <v>75</v>
      </c>
      <c r="C32" s="7" t="s">
        <v>76</v>
      </c>
      <c r="D32" s="7" t="s">
        <v>56</v>
      </c>
    </row>
    <row r="33" spans="1:4">
      <c r="A33" s="22">
        <v>402</v>
      </c>
      <c r="B33" s="6" t="s">
        <v>77</v>
      </c>
      <c r="C33" s="7" t="s">
        <v>76</v>
      </c>
      <c r="D33" s="7" t="s">
        <v>56</v>
      </c>
    </row>
    <row r="34" spans="1:4">
      <c r="A34" s="22">
        <v>403</v>
      </c>
      <c r="B34" s="6" t="s">
        <v>78</v>
      </c>
      <c r="C34" s="7" t="s">
        <v>76</v>
      </c>
      <c r="D34" s="7" t="s">
        <v>56</v>
      </c>
    </row>
    <row r="35" spans="1:4">
      <c r="A35" s="22">
        <v>404</v>
      </c>
      <c r="B35" s="6" t="s">
        <v>79</v>
      </c>
      <c r="C35" s="7" t="s">
        <v>76</v>
      </c>
      <c r="D35" s="7" t="s">
        <v>56</v>
      </c>
    </row>
    <row r="36" spans="1:4">
      <c r="A36" s="22">
        <v>405</v>
      </c>
      <c r="B36" s="6" t="s">
        <v>80</v>
      </c>
      <c r="C36" s="7" t="s">
        <v>76</v>
      </c>
      <c r="D36" s="7" t="s">
        <v>81</v>
      </c>
    </row>
    <row r="37" spans="1:4">
      <c r="A37" s="22">
        <v>410</v>
      </c>
      <c r="B37" s="6" t="s">
        <v>82</v>
      </c>
      <c r="C37" s="7" t="s">
        <v>76</v>
      </c>
      <c r="D37" s="7" t="s">
        <v>56</v>
      </c>
    </row>
    <row r="38" spans="1:4">
      <c r="A38" s="22">
        <v>501</v>
      </c>
      <c r="B38" s="6" t="s">
        <v>83</v>
      </c>
      <c r="C38" s="7" t="s">
        <v>84</v>
      </c>
      <c r="D38" s="7" t="s">
        <v>49</v>
      </c>
    </row>
    <row r="39" spans="1:4">
      <c r="A39" s="22">
        <v>502</v>
      </c>
      <c r="B39" s="6" t="s">
        <v>85</v>
      </c>
      <c r="C39" s="7" t="s">
        <v>84</v>
      </c>
      <c r="D39" s="7" t="s">
        <v>49</v>
      </c>
    </row>
    <row r="40" spans="1:4">
      <c r="A40" s="22">
        <v>503</v>
      </c>
      <c r="B40" s="6" t="s">
        <v>86</v>
      </c>
      <c r="C40" s="7" t="s">
        <v>84</v>
      </c>
      <c r="D40" s="7" t="s">
        <v>49</v>
      </c>
    </row>
    <row r="41" spans="1:4">
      <c r="A41" s="22">
        <v>504</v>
      </c>
      <c r="B41" s="6" t="s">
        <v>87</v>
      </c>
      <c r="C41" s="7" t="s">
        <v>84</v>
      </c>
      <c r="D41" s="7" t="s">
        <v>49</v>
      </c>
    </row>
    <row r="42" spans="1:4">
      <c r="A42" s="22">
        <v>510</v>
      </c>
      <c r="B42" s="6" t="s">
        <v>88</v>
      </c>
      <c r="C42" s="7" t="s">
        <v>84</v>
      </c>
      <c r="D42" s="7" t="s">
        <v>56</v>
      </c>
    </row>
    <row r="43" spans="1:4">
      <c r="A43" s="22">
        <v>511</v>
      </c>
      <c r="B43" s="6" t="s">
        <v>89</v>
      </c>
      <c r="C43" s="7" t="s">
        <v>84</v>
      </c>
      <c r="D43" s="7" t="s">
        <v>56</v>
      </c>
    </row>
    <row r="44" spans="1:4">
      <c r="A44" s="22">
        <v>512</v>
      </c>
      <c r="B44" s="6" t="s">
        <v>90</v>
      </c>
      <c r="C44" s="7" t="s">
        <v>84</v>
      </c>
      <c r="D44" s="7" t="s">
        <v>56</v>
      </c>
    </row>
    <row r="45" spans="1:4">
      <c r="A45" s="22">
        <v>513</v>
      </c>
      <c r="B45" s="6" t="s">
        <v>91</v>
      </c>
      <c r="C45" s="7" t="s">
        <v>84</v>
      </c>
      <c r="D45" s="7" t="s">
        <v>92</v>
      </c>
    </row>
    <row r="46" spans="1:4">
      <c r="A46" s="22">
        <v>514</v>
      </c>
      <c r="B46" s="6" t="s">
        <v>93</v>
      </c>
      <c r="C46" s="7" t="s">
        <v>84</v>
      </c>
      <c r="D46" s="7" t="s">
        <v>92</v>
      </c>
    </row>
    <row r="47" spans="1:4">
      <c r="A47" s="22">
        <v>515</v>
      </c>
      <c r="B47" s="6" t="s">
        <v>94</v>
      </c>
      <c r="C47" s="7" t="s">
        <v>84</v>
      </c>
      <c r="D47" s="7" t="s">
        <v>92</v>
      </c>
    </row>
    <row r="48" spans="1:4">
      <c r="A48" s="22">
        <v>516</v>
      </c>
      <c r="B48" s="6" t="s">
        <v>95</v>
      </c>
      <c r="C48" s="7" t="s">
        <v>84</v>
      </c>
      <c r="D48" s="7" t="s">
        <v>56</v>
      </c>
    </row>
    <row r="49" spans="1:4">
      <c r="A49" s="22">
        <v>517</v>
      </c>
      <c r="B49" s="6" t="s">
        <v>96</v>
      </c>
      <c r="C49" s="7" t="s">
        <v>84</v>
      </c>
      <c r="D49" s="7" t="s">
        <v>56</v>
      </c>
    </row>
    <row r="50" spans="1:4">
      <c r="A50" s="22">
        <v>518</v>
      </c>
      <c r="B50" s="6" t="s">
        <v>97</v>
      </c>
      <c r="C50" s="7" t="s">
        <v>84</v>
      </c>
      <c r="D50" s="7" t="s">
        <v>56</v>
      </c>
    </row>
    <row r="51" spans="1:4">
      <c r="A51" s="22">
        <v>519</v>
      </c>
      <c r="B51" s="6" t="s">
        <v>98</v>
      </c>
      <c r="C51" s="7" t="s">
        <v>84</v>
      </c>
      <c r="D51" s="7" t="s">
        <v>56</v>
      </c>
    </row>
    <row r="52" spans="1:4">
      <c r="A52" s="22">
        <v>520</v>
      </c>
      <c r="B52" s="6" t="s">
        <v>99</v>
      </c>
      <c r="C52" s="7" t="s">
        <v>84</v>
      </c>
      <c r="D52" s="7" t="s">
        <v>92</v>
      </c>
    </row>
    <row r="53" spans="1:4">
      <c r="A53" s="22">
        <v>521</v>
      </c>
      <c r="B53" s="6" t="s">
        <v>100</v>
      </c>
      <c r="C53" s="7" t="s">
        <v>84</v>
      </c>
      <c r="D53" s="7" t="s">
        <v>56</v>
      </c>
    </row>
    <row r="54" spans="1:4">
      <c r="A54" s="22">
        <v>522</v>
      </c>
      <c r="B54" s="6" t="s">
        <v>101</v>
      </c>
      <c r="C54" s="7" t="s">
        <v>84</v>
      </c>
      <c r="D54" s="7" t="s">
        <v>56</v>
      </c>
    </row>
    <row r="55" spans="1:4">
      <c r="A55" s="22">
        <v>523</v>
      </c>
      <c r="B55" s="6" t="s">
        <v>102</v>
      </c>
      <c r="C55" s="7" t="s">
        <v>84</v>
      </c>
      <c r="D55" s="7" t="s">
        <v>56</v>
      </c>
    </row>
    <row r="56" spans="1:4">
      <c r="A56" s="22">
        <v>524</v>
      </c>
      <c r="B56" s="6" t="s">
        <v>103</v>
      </c>
      <c r="C56" s="7" t="s">
        <v>84</v>
      </c>
      <c r="D56" s="7" t="s">
        <v>49</v>
      </c>
    </row>
    <row r="57" spans="1:4">
      <c r="A57" s="22">
        <v>530</v>
      </c>
      <c r="B57" s="6" t="s">
        <v>104</v>
      </c>
      <c r="C57" s="7" t="s">
        <v>84</v>
      </c>
      <c r="D57" s="7" t="s">
        <v>92</v>
      </c>
    </row>
    <row r="58" spans="1:4">
      <c r="A58" s="22">
        <v>540</v>
      </c>
      <c r="B58" s="6" t="s">
        <v>105</v>
      </c>
      <c r="C58" s="7" t="s">
        <v>84</v>
      </c>
      <c r="D58" s="7" t="s">
        <v>92</v>
      </c>
    </row>
  </sheetData>
  <phoneticPr fontId="9" type="noConversion"/>
  <dataValidations count="2">
    <dataValidation type="list" sqref="C6:C58" xr:uid="{00000000-0002-0000-0200-000000000000}">
      <formula1>"자산,부채,자본,수익,비용"</formula1>
    </dataValidation>
    <dataValidation type="list" sqref="D6:D58" xr:uid="{00000000-0002-0000-0200-000001000000}">
      <formula1>"과세,면세,불공제,해당없음"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5"/>
  <sheetViews>
    <sheetView showGridLines="0" workbookViewId="0">
      <selection activeCell="A26" sqref="A26"/>
    </sheetView>
  </sheetViews>
  <sheetFormatPr defaultRowHeight="13.5"/>
  <cols>
    <col min="1" max="1" width="30" customWidth="1"/>
    <col min="2" max="2" width="10" customWidth="1"/>
    <col min="3" max="3" width="12" customWidth="1"/>
    <col min="4" max="4" width="14" customWidth="1"/>
  </cols>
  <sheetData>
    <row r="2" spans="1:4" ht="17.649999999999999">
      <c r="A2" s="1" t="s">
        <v>106</v>
      </c>
    </row>
    <row r="3" spans="1:4">
      <c r="A3" s="2" t="s">
        <v>107</v>
      </c>
    </row>
    <row r="4" spans="1:4" ht="13.9">
      <c r="A4" s="12" t="s">
        <v>108</v>
      </c>
      <c r="C4" s="15">
        <f>COUNTIF($D$7:$D$15,"확인 필요")</f>
        <v>0</v>
      </c>
      <c r="D4" s="12" t="str">
        <f>IF(C4=0,"정상","확인 필요")</f>
        <v>정상</v>
      </c>
    </row>
    <row r="6" spans="1:4">
      <c r="A6" s="5" t="s">
        <v>109</v>
      </c>
      <c r="B6" s="5" t="s">
        <v>110</v>
      </c>
      <c r="C6" s="5" t="s">
        <v>111</v>
      </c>
      <c r="D6" s="5" t="s">
        <v>8</v>
      </c>
    </row>
    <row r="7" spans="1:4">
      <c r="A7" s="19" t="s">
        <v>112</v>
      </c>
      <c r="B7" s="7">
        <v>0</v>
      </c>
      <c r="C7" s="20">
        <f>시산표!$B$9</f>
        <v>0</v>
      </c>
      <c r="D7" s="7" t="str">
        <f t="shared" ref="D7:D15" si="0">IF(C7=0,"정상","확인 필요")</f>
        <v>정상</v>
      </c>
    </row>
    <row r="8" spans="1:4">
      <c r="A8" s="19" t="s">
        <v>113</v>
      </c>
      <c r="B8" s="7">
        <v>0</v>
      </c>
      <c r="C8" s="20">
        <f>SUM(전표!$Q$7:$Q$282)</f>
        <v>0</v>
      </c>
      <c r="D8" s="7" t="str">
        <f t="shared" si="0"/>
        <v>정상</v>
      </c>
    </row>
    <row r="9" spans="1:4">
      <c r="A9" s="19" t="s">
        <v>114</v>
      </c>
      <c r="B9" s="7">
        <v>0</v>
      </c>
      <c r="C9" s="20">
        <f>SUMPRODUCT((전표!$F$7:$F$282&lt;&gt;"")*(전표!$G$7:$G$282&lt;&gt;"")*1)</f>
        <v>0</v>
      </c>
      <c r="D9" s="7" t="str">
        <f t="shared" si="0"/>
        <v>정상</v>
      </c>
    </row>
    <row r="10" spans="1:4">
      <c r="A10" s="19" t="s">
        <v>115</v>
      </c>
      <c r="B10" s="7">
        <v>0</v>
      </c>
      <c r="C10" s="20">
        <f>SUMPRODUCT((전표!$D$7:$D$282&lt;&gt;"")*(전표!$F$7:$F$282="")*(전표!$G$7:$G$282="")*1)</f>
        <v>0</v>
      </c>
      <c r="D10" s="7" t="str">
        <f t="shared" si="0"/>
        <v>정상</v>
      </c>
    </row>
    <row r="11" spans="1:4">
      <c r="A11" s="19" t="s">
        <v>116</v>
      </c>
      <c r="B11" s="7">
        <v>0</v>
      </c>
      <c r="C11" s="20">
        <f>COUNTIF(전표!$O$7:$O$282,"미등록")</f>
        <v>0</v>
      </c>
      <c r="D11" s="7" t="str">
        <f t="shared" si="0"/>
        <v>정상</v>
      </c>
    </row>
    <row r="12" spans="1:4">
      <c r="A12" s="19" t="s">
        <v>117</v>
      </c>
      <c r="B12" s="7">
        <v>0</v>
      </c>
      <c r="C12" s="20">
        <f>SUMPRODUCT((전표!$A$7:$A$282&lt;&gt;"")*(전표!$B$7:$B$282="")*1)</f>
        <v>0</v>
      </c>
      <c r="D12" s="7" t="str">
        <f t="shared" si="0"/>
        <v>정상</v>
      </c>
    </row>
    <row r="13" spans="1:4">
      <c r="A13" s="19" t="s">
        <v>118</v>
      </c>
      <c r="B13" s="7">
        <v>0</v>
      </c>
      <c r="C13" s="20">
        <f>SUMPRODUCT((전표!$A$7:$A$282&lt;&gt;"")*(전표!$C$7:$C$282="")*1)</f>
        <v>0</v>
      </c>
      <c r="D13" s="7" t="str">
        <f t="shared" si="0"/>
        <v>정상</v>
      </c>
    </row>
    <row r="14" spans="1:4">
      <c r="A14" s="19" t="s">
        <v>119</v>
      </c>
      <c r="B14" s="7">
        <v>0</v>
      </c>
      <c r="C14" s="20">
        <f>SUMPRODUCT((전표!$H$7:$H$282&lt;&gt;"")*(전표!$H$7:$H$282&gt;0)*(전표!$N$7:$N$282&lt;&gt;"과세")*1)</f>
        <v>0</v>
      </c>
      <c r="D14" s="7" t="str">
        <f t="shared" si="0"/>
        <v>정상</v>
      </c>
    </row>
    <row r="15" spans="1:4">
      <c r="A15" s="19" t="s">
        <v>120</v>
      </c>
      <c r="B15" s="7">
        <v>0</v>
      </c>
      <c r="C15" s="20">
        <f>SUMPRODUCT((전표!$A$7:$A$282&lt;&gt;"")*(전표!$K$7:$K$282="")*1)</f>
        <v>0</v>
      </c>
      <c r="D15" s="7" t="str">
        <f t="shared" si="0"/>
        <v>정상</v>
      </c>
    </row>
  </sheetData>
  <phoneticPr fontId="9" type="noConversion"/>
  <conditionalFormatting sqref="D4">
    <cfRule type="containsText" dxfId="1" priority="2" operator="containsText" text="확인 필요"/>
  </conditionalFormatting>
  <conditionalFormatting sqref="D7:D15">
    <cfRule type="containsText" dxfId="0" priority="1" operator="containsText" text="확인 필요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시산표</vt:lpstr>
      <vt:lpstr>전표</vt:lpstr>
      <vt:lpstr>계정과목</vt:lpstr>
      <vt:lpstr>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Hong</cp:lastModifiedBy>
  <dcterms:modified xsi:type="dcterms:W3CDTF">2026-09-26T03:42:25Z</dcterms:modified>
</cp:coreProperties>
</file>